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vignettes/articles/datasets/"/>
    </mc:Choice>
  </mc:AlternateContent>
  <xr:revisionPtr revIDLastSave="0" documentId="8_{C0974BBF-BFF5-DE49-B0C7-60C761DB0BBD}" xr6:coauthVersionLast="47" xr6:coauthVersionMax="47" xr10:uidLastSave="{00000000-0000-0000-0000-000000000000}"/>
  <bookViews>
    <workbookView xWindow="0" yWindow="880" windowWidth="36000" windowHeight="20000" tabRatio="624" activeTab="4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Instructions" sheetId="8" r:id="rId6"/>
    <sheet name="About" sheetId="7" r:id="rId7"/>
    <sheet name="Lists" sheetId="5" r:id="rId8"/>
  </sheets>
  <definedNames>
    <definedName name="_xlnm._FilterDatabase" localSheetId="0" hidden="1">'Analyses (Samples)'!$A$1:$N$26</definedName>
    <definedName name="_xlnm._FilterDatabase" localSheetId="1" hidden="1">'Features (Analytes)'!$A$1:$B$17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</authors>
  <commentList>
    <comment ref="A1" authorId="0" shapeId="0" xr:uid="{C18F429A-83B6-A149-BF6D-BCA788900FE4}">
      <text>
        <r>
          <rPr>
            <sz val="8"/>
            <color rgb="FF000000"/>
            <rFont val="Tahoma"/>
            <family val="2"/>
          </rPr>
          <t>Unique identifier for the analysis results (one run/sample)</t>
        </r>
      </text>
    </comment>
  </commentList>
</comments>
</file>

<file path=xl/sharedStrings.xml><?xml version="1.0" encoding="utf-8"?>
<sst xmlns="http://schemas.openxmlformats.org/spreadsheetml/2006/main" count="480" uniqueCount="184">
  <si>
    <t>Raw_Data_Filename</t>
  </si>
  <si>
    <t>Sample_Type</t>
  </si>
  <si>
    <t>Sample_Amount</t>
  </si>
  <si>
    <t>Sample_Amount_Unit</t>
  </si>
  <si>
    <t>ISTD_Mixture_Volume_[uL]</t>
  </si>
  <si>
    <t>Batch_ID</t>
  </si>
  <si>
    <t>Valid_Analysis</t>
  </si>
  <si>
    <t>Sample_Id</t>
  </si>
  <si>
    <t>Replicate_No</t>
  </si>
  <si>
    <t>Specimen</t>
  </si>
  <si>
    <t>Method_Id</t>
  </si>
  <si>
    <t>Remarks</t>
  </si>
  <si>
    <t>Data_Source</t>
  </si>
  <si>
    <t>Merge_Status</t>
  </si>
  <si>
    <t>uL</t>
  </si>
  <si>
    <t>SBLK</t>
  </si>
  <si>
    <t>TQC</t>
  </si>
  <si>
    <t>BQC</t>
  </si>
  <si>
    <t>SPL</t>
  </si>
  <si>
    <t>mg fresh weight</t>
  </si>
  <si>
    <t>MBLK</t>
  </si>
  <si>
    <t>PBLK</t>
  </si>
  <si>
    <t>RQC</t>
  </si>
  <si>
    <t>NIST</t>
  </si>
  <si>
    <t>LTR</t>
  </si>
  <si>
    <t>UBLK</t>
  </si>
  <si>
    <t>Feature_Class</t>
  </si>
  <si>
    <t>Response_Factor</t>
  </si>
  <si>
    <t>Quantifier</t>
  </si>
  <si>
    <t>Valid_Integration</t>
  </si>
  <si>
    <t>Interference_Proportion</t>
  </si>
  <si>
    <t>ISTD_Conc_[nM]</t>
  </si>
  <si>
    <t>&lt;==</t>
  </si>
  <si>
    <t>ISTD_Conc_[ng/mL]</t>
  </si>
  <si>
    <t>ISTD_[MW]</t>
  </si>
  <si>
    <t>[uM] or [pmol/uL]</t>
  </si>
  <si>
    <t>Injection_Volume_[uL]</t>
  </si>
  <si>
    <t>Mandatory field</t>
  </si>
  <si>
    <t>Fields required for normalization, quantification and batch correction/visualization'</t>
  </si>
  <si>
    <t>Optional fields with annotations</t>
  </si>
  <si>
    <t>Internal/inactivated fields</t>
  </si>
  <si>
    <t>Version</t>
  </si>
  <si>
    <t>Last Update</t>
  </si>
  <si>
    <t>The newest version of this template can be found in</t>
  </si>
  <si>
    <t>https://github.com/SLINGhub/midar/tree/master/inst/extdata</t>
  </si>
  <si>
    <t>References</t>
  </si>
  <si>
    <t>https://github.com/SLINGhub/MSTemplate_Creator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</si>
  <si>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</si>
  <si>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</si>
  <si>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</si>
  <si>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</si>
  <si>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</si>
  <si>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</si>
  <si>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</si>
  <si>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</si>
  <si>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</si>
  <si>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</si>
  <si>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</si>
  <si>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</si>
  <si>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</si>
  <si>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</si>
  <si>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</si>
  <si>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</si>
  <si>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</si>
  <si>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</si>
  <si>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</si>
  <si>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</si>
  <si>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</si>
  <si>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</si>
  <si>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Batch QC</t>
  </si>
  <si>
    <t>Process/Pooled QC</t>
  </si>
  <si>
    <t>ng DNA</t>
  </si>
  <si>
    <t>[nM] or [fmol/uL]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</si>
  <si>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</si>
  <si>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</si>
  <si>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</si>
  <si>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</si>
  <si>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</si>
  <si>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</si>
  <si>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</si>
  <si>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</si>
  <si>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</si>
  <si>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</si>
  <si>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</si>
  <si>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</si>
  <si>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</si>
  <si>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</si>
  <si>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Unextracted Blank (Solvent with ISTD)</t>
  </si>
  <si>
    <t>Solvent Blank</t>
  </si>
  <si>
    <t>Unextracted solvent used for extraction (e.g. used for Solvent with ISTD mixture)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</si>
  <si>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</si>
  <si>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</si>
  <si>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</si>
  <si>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</si>
  <si>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</si>
  <si>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</si>
  <si>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</si>
  <si>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</si>
  <si>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</si>
  <si>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</si>
  <si>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</si>
  <si>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</si>
  <si>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</si>
  <si>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</si>
  <si>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CAL</t>
  </si>
  <si>
    <t xml:space="preserve">Calibration </t>
  </si>
  <si>
    <t>QC</t>
  </si>
  <si>
    <t>Feature_ID</t>
  </si>
  <si>
    <t>ISTD_Feature_ID</t>
  </si>
  <si>
    <t>Interference_Feature_ID</t>
  </si>
  <si>
    <t>Feature_Label</t>
  </si>
  <si>
    <t>Analysis_ID</t>
  </si>
  <si>
    <t>Analyzed_Amount</t>
  </si>
  <si>
    <t>Analyzed_Amount_Unit</t>
  </si>
  <si>
    <t>Curve_ID</t>
  </si>
  <si>
    <t>IBLK</t>
  </si>
  <si>
    <t>HQC</t>
  </si>
  <si>
    <t>LQC</t>
  </si>
  <si>
    <t>Serum</t>
  </si>
  <si>
    <t>MQC</t>
  </si>
  <si>
    <t>LOQC</t>
  </si>
  <si>
    <t>Aldosterone</t>
  </si>
  <si>
    <t>Cortisone</t>
  </si>
  <si>
    <t>Cortisol</t>
  </si>
  <si>
    <t>Corticosterone</t>
  </si>
  <si>
    <t>Aldosterone D4 (ISTD)</t>
  </si>
  <si>
    <t>Cortisone 13C3 (ISTD)</t>
  </si>
  <si>
    <t>Cortisol D4 (ISTD)</t>
  </si>
  <si>
    <t>Corticosterone 13C3 (ISTD)</t>
  </si>
  <si>
    <t>Mineralocorticoid</t>
  </si>
  <si>
    <t>Androstane</t>
  </si>
  <si>
    <t>Glucocorticoids</t>
  </si>
  <si>
    <t>Concentration</t>
  </si>
  <si>
    <t>nmol/L</t>
  </si>
  <si>
    <t>1/x</t>
  </si>
  <si>
    <t>CAL-A</t>
  </si>
  <si>
    <t>CAL-0</t>
  </si>
  <si>
    <t>CAL-B</t>
  </si>
  <si>
    <t>CAL-C</t>
  </si>
  <si>
    <t>CAL-D</t>
  </si>
  <si>
    <t>CAL-E</t>
  </si>
  <si>
    <t>CAL-F</t>
  </si>
  <si>
    <t>Curve_Fit_Weighting</t>
  </si>
  <si>
    <t>quadratic</t>
  </si>
  <si>
    <t>Analyte_Id</t>
  </si>
  <si>
    <t>SBLK1</t>
  </si>
  <si>
    <t>SBLK2</t>
  </si>
  <si>
    <t>Cal0</t>
  </si>
  <si>
    <t>CalA</t>
  </si>
  <si>
    <t>CalB</t>
  </si>
  <si>
    <t>CalC</t>
  </si>
  <si>
    <t>CalD</t>
  </si>
  <si>
    <t>CalE</t>
  </si>
  <si>
    <t>CalF</t>
  </si>
  <si>
    <t>InstBLK</t>
  </si>
  <si>
    <t>QC_High_1</t>
  </si>
  <si>
    <t>QC_High_2</t>
  </si>
  <si>
    <t>QC_High_3</t>
  </si>
  <si>
    <t>QC_High_4</t>
  </si>
  <si>
    <t>QC_High_5</t>
  </si>
  <si>
    <t>QC_Low_1</t>
  </si>
  <si>
    <t>QC_Low_2</t>
  </si>
  <si>
    <t>QC_Low_3</t>
  </si>
  <si>
    <t>QC_Low_4</t>
  </si>
  <si>
    <t>QC_Low_5</t>
  </si>
  <si>
    <t>SPL1</t>
  </si>
  <si>
    <t>SPL2</t>
  </si>
  <si>
    <t>SPL3</t>
  </si>
  <si>
    <t>SPL4</t>
  </si>
  <si>
    <t>Corticosterone [QUAL 347.3 -&gt; 329.3]</t>
  </si>
  <si>
    <t>Cortisone 13C3 (ISTD) [QUAL 364.1 -&gt; 105.1]</t>
  </si>
  <si>
    <t>Aldosterone D4 (ISTD) [QUAL 365.2 -&gt; 347.2]</t>
  </si>
  <si>
    <t>Cortisone [QUAL 361.2 -&gt; 121.1]</t>
  </si>
  <si>
    <t>Cortisol [QUAL 363.2 -&gt; 97.1]</t>
  </si>
  <si>
    <t>Cortisol D4 (ISTD) [QUAL 367.2 -&gt; 77.1]</t>
  </si>
  <si>
    <t>Corticosterone 13C3 (ISTD) [QUAL 350.2 -&gt; 332.2]</t>
  </si>
  <si>
    <t>linear</t>
  </si>
  <si>
    <t>Aldosterone [QUAL 361.2 -&gt; 343.1]</t>
  </si>
  <si>
    <t>Curve_Fit_Model</t>
  </si>
  <si>
    <t>About MiDAR MSOrganiser Template</t>
  </si>
  <si>
    <t>0.2.0</t>
  </si>
  <si>
    <t>21.03.2025</t>
  </si>
  <si>
    <t>This template is a modified version of "MSTemplate_Creator" made by Jeremy John Selva</t>
  </si>
  <si>
    <t>Include_In_Analysis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</si>
</sst>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4"/>
      <color rgb="FF000000"/>
      <name val="Aptos Narrow"/>
      <family val="2"/>
    </font>
    <font>
      <sz val="11"/>
      <color rgb="FF006100"/>
      <name val="Aptos Narrow"/>
      <family val="2"/>
    </font>
    <font>
      <sz val="8"/>
      <color rgb="FF000000"/>
      <name val="Tahoma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22"/>
      <color theme="1"/>
      <name val="Consolas"/>
      <family val="2"/>
    </font>
    <font>
      <sz val="12"/>
      <color theme="1"/>
      <name val="Aptos"/>
    </font>
  </fonts>
  <fills count="4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rgb="FFC6EFCE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4" applyNumberFormat="0" applyAlignment="0" applyProtection="0"/>
    <xf numFmtId="0" fontId="17" fillId="14" borderId="15" applyNumberFormat="0" applyAlignment="0" applyProtection="0"/>
    <xf numFmtId="0" fontId="18" fillId="14" borderId="14" applyNumberFormat="0" applyAlignment="0" applyProtection="0"/>
    <xf numFmtId="0" fontId="19" fillId="0" borderId="16" applyNumberFormat="0" applyFill="0" applyAlignment="0" applyProtection="0"/>
    <xf numFmtId="0" fontId="3" fillId="15" borderId="17" applyNumberFormat="0" applyAlignment="0" applyProtection="0"/>
    <xf numFmtId="0" fontId="20" fillId="0" borderId="0" applyNumberFormat="0" applyFill="0" applyBorder="0" applyAlignment="0" applyProtection="0"/>
    <xf numFmtId="0" fontId="9" fillId="16" borderId="18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0" fillId="5" borderId="5" xfId="0" applyFill="1" applyBorder="1"/>
    <xf numFmtId="0" fontId="0" fillId="5" borderId="0" xfId="0" applyFill="1"/>
    <xf numFmtId="0" fontId="3" fillId="7" borderId="7" xfId="0" applyFont="1" applyFill="1" applyBorder="1"/>
    <xf numFmtId="0" fontId="0" fillId="0" borderId="9" xfId="0" applyBorder="1"/>
    <xf numFmtId="0" fontId="0" fillId="8" borderId="9" xfId="0" applyFill="1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11" fontId="0" fillId="0" borderId="6" xfId="0" applyNumberFormat="1" applyBorder="1"/>
    <xf numFmtId="0" fontId="0" fillId="0" borderId="8" xfId="0" applyBorder="1"/>
    <xf numFmtId="11" fontId="0" fillId="0" borderId="8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41" borderId="4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4" xfId="0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4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4" fillId="0" borderId="0" xfId="0" applyNumberFormat="1" applyFont="1" applyProtection="1">
      <protection locked="0"/>
    </xf>
    <xf numFmtId="165" fontId="3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6" fillId="0" borderId="0" xfId="0" applyFont="1"/>
    <xf numFmtId="0" fontId="37" fillId="0" borderId="0" xfId="0" applyFont="1"/>
    <xf numFmtId="0" fontId="27" fillId="2" borderId="20" xfId="1" applyFont="1" applyFill="1" applyBorder="1" applyAlignment="1" applyProtection="1">
      <alignment horizontal="center" vertical="center"/>
    </xf>
    <xf numFmtId="0" fontId="27" fillId="9" borderId="20" xfId="1" applyFont="1" applyFill="1" applyBorder="1" applyAlignment="1" applyProtection="1">
      <alignment horizontal="center" vertical="center"/>
    </xf>
    <xf numFmtId="0" fontId="38" fillId="42" borderId="0" xfId="6" applyFont="1" applyFill="1"/>
    <xf numFmtId="0" fontId="38" fillId="42" borderId="0" xfId="6" applyFont="1" applyFill="1" applyProtection="1">
      <protection locked="0"/>
    </xf>
    <xf numFmtId="0" fontId="36" fillId="0" borderId="0" xfId="0" applyFont="1" applyProtection="1">
      <protection locked="0"/>
    </xf>
    <xf numFmtId="0" fontId="38" fillId="42" borderId="0" xfId="6" applyFont="1" applyFill="1" applyAlignment="1" applyProtection="1">
      <alignment horizontal="center"/>
      <protection locked="0"/>
    </xf>
    <xf numFmtId="0" fontId="21" fillId="0" borderId="0" xfId="16" applyAlignment="1" applyProtection="1">
      <protection locked="0"/>
    </xf>
    <xf numFmtId="0" fontId="0" fillId="43" borderId="21" xfId="0" applyFill="1" applyBorder="1"/>
    <xf numFmtId="0" fontId="24" fillId="2" borderId="23" xfId="0" applyFont="1" applyFill="1" applyBorder="1" applyAlignment="1">
      <alignment horizontal="center" vertical="center"/>
    </xf>
    <xf numFmtId="0" fontId="0" fillId="43" borderId="22" xfId="0" applyFill="1" applyBorder="1"/>
    <xf numFmtId="0" fontId="0" fillId="0" borderId="22" xfId="0" applyBorder="1"/>
    <xf numFmtId="0" fontId="40" fillId="0" borderId="0" xfId="0" applyFont="1"/>
    <xf numFmtId="0" fontId="41" fillId="0" borderId="0" xfId="0" applyFont="1"/>
    <xf numFmtId="0" fontId="0" fillId="43" borderId="0" xfId="0" applyFill="1"/>
    <xf numFmtId="0" fontId="0" fillId="43" borderId="24" xfId="0" applyFill="1" applyBorder="1"/>
    <xf numFmtId="0" fontId="42" fillId="0" borderId="0" xfId="0" applyFont="1"/>
    <xf numFmtId="0" fontId="0" fillId="43" borderId="25" xfId="0" applyFill="1" applyBorder="1"/>
    <xf numFmtId="0" fontId="0" fillId="0" borderId="25" xfId="0" applyBorder="1"/>
    <xf numFmtId="0" fontId="0" fillId="43" borderId="6" xfId="0" applyFill="1" applyBorder="1"/>
    <xf numFmtId="0" fontId="43" fillId="9" borderId="0" xfId="0" applyFont="1" applyFill="1" applyAlignment="1">
      <alignment horizontal="left" vertical="center"/>
    </xf>
    <xf numFmtId="0" fontId="44" fillId="4" borderId="0" xfId="0" applyFont="1" applyFill="1" applyAlignment="1">
      <alignment horizontal="left"/>
    </xf>
    <xf numFmtId="0" fontId="44" fillId="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34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border outline="0">
        <top style="thin">
          <color theme="4" tint="-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onsolas"/>
        <family val="3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153E"/>
        <name val="Consolas"/>
        <family val="3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E9ECEC"/>
      <color rgb="FFFFFF99"/>
      <color rgb="FFCCFF66"/>
      <color rgb="FFF1FFE6"/>
      <color rgb="FFFFCCFF"/>
      <color rgb="FFFFE1FF"/>
      <color rgb="FF9999FF"/>
      <color rgb="FFFFDCB9"/>
      <color rgb="FFFFCC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1497185</xdr:colOff>
      <xdr:row>1</xdr:row>
      <xdr:rowOff>177800</xdr:rowOff>
    </xdr:from>
    <xdr:to>
      <xdr:col>12</xdr:col>
      <xdr:colOff>188951</xdr:colOff>
      <xdr:row>3</xdr:row>
      <xdr:rowOff>150043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9</xdr:col>
      <xdr:colOff>173490</xdr:colOff>
      <xdr:row>11</xdr:row>
      <xdr:rowOff>215900</xdr:rowOff>
    </xdr:from>
    <xdr:to>
      <xdr:col>10</xdr:col>
      <xdr:colOff>95874</xdr:colOff>
      <xdr:row>13</xdr:row>
      <xdr:rowOff>150043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998962</xdr:colOff>
      <xdr:row>5</xdr:row>
      <xdr:rowOff>91257</xdr:rowOff>
    </xdr:from>
    <xdr:to>
      <xdr:col>10</xdr:col>
      <xdr:colOff>830614</xdr:colOff>
      <xdr:row>7</xdr:row>
      <xdr:rowOff>38100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861750</xdr:colOff>
      <xdr:row>13</xdr:row>
      <xdr:rowOff>226243</xdr:rowOff>
    </xdr:from>
    <xdr:to>
      <xdr:col>11</xdr:col>
      <xdr:colOff>265749</xdr:colOff>
      <xdr:row>15</xdr:row>
      <xdr:rowOff>217079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899850</xdr:colOff>
      <xdr:row>3</xdr:row>
      <xdr:rowOff>74563</xdr:rowOff>
    </xdr:from>
    <xdr:to>
      <xdr:col>11</xdr:col>
      <xdr:colOff>253049</xdr:colOff>
      <xdr:row>5</xdr:row>
      <xdr:rowOff>27757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1269291</xdr:colOff>
      <xdr:row>9</xdr:row>
      <xdr:rowOff>148864</xdr:rowOff>
    </xdr:from>
    <xdr:to>
      <xdr:col>10</xdr:col>
      <xdr:colOff>754414</xdr:colOff>
      <xdr:row>11</xdr:row>
      <xdr:rowOff>90078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1503535</xdr:colOff>
      <xdr:row>7</xdr:row>
      <xdr:rowOff>104317</xdr:rowOff>
    </xdr:from>
    <xdr:to>
      <xdr:col>10</xdr:col>
      <xdr:colOff>561071</xdr:colOff>
      <xdr:row>9</xdr:row>
      <xdr:rowOff>54335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365991</xdr:colOff>
      <xdr:row>2</xdr:row>
      <xdr:rowOff>14076</xdr:rowOff>
    </xdr:from>
    <xdr:to>
      <xdr:col>23</xdr:col>
      <xdr:colOff>170669</xdr:colOff>
      <xdr:row>17</xdr:row>
      <xdr:rowOff>208137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10</xdr:col>
      <xdr:colOff>367513</xdr:colOff>
      <xdr:row>1</xdr:row>
      <xdr:rowOff>229776</xdr:rowOff>
    </xdr:from>
    <xdr:to>
      <xdr:col>13</xdr:col>
      <xdr:colOff>1027886</xdr:colOff>
      <xdr:row>3</xdr:row>
      <xdr:rowOff>211426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304319</xdr:colOff>
      <xdr:row>10</xdr:row>
      <xdr:rowOff>113363</xdr:rowOff>
    </xdr:from>
    <xdr:to>
      <xdr:col>12</xdr:col>
      <xdr:colOff>866558</xdr:colOff>
      <xdr:row>12</xdr:row>
      <xdr:rowOff>47507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454061</xdr:colOff>
      <xdr:row>6</xdr:row>
      <xdr:rowOff>89607</xdr:rowOff>
    </xdr:from>
    <xdr:to>
      <xdr:col>13</xdr:col>
      <xdr:colOff>672991</xdr:colOff>
      <xdr:row>8</xdr:row>
      <xdr:rowOff>36451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191594</xdr:colOff>
      <xdr:row>12</xdr:row>
      <xdr:rowOff>131481</xdr:rowOff>
    </xdr:from>
    <xdr:to>
      <xdr:col>13</xdr:col>
      <xdr:colOff>915467</xdr:colOff>
      <xdr:row>14</xdr:row>
      <xdr:rowOff>108192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361633</xdr:colOff>
      <xdr:row>4</xdr:row>
      <xdr:rowOff>88202</xdr:rowOff>
    </xdr:from>
    <xdr:to>
      <xdr:col>13</xdr:col>
      <xdr:colOff>1037428</xdr:colOff>
      <xdr:row>6</xdr:row>
      <xdr:rowOff>33163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796983</xdr:colOff>
      <xdr:row>19</xdr:row>
      <xdr:rowOff>51514</xdr:rowOff>
    </xdr:from>
    <xdr:to>
      <xdr:col>13</xdr:col>
      <xdr:colOff>701920</xdr:colOff>
      <xdr:row>20</xdr:row>
      <xdr:rowOff>233306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713139</xdr:colOff>
      <xdr:row>8</xdr:row>
      <xdr:rowOff>124659</xdr:rowOff>
    </xdr:from>
    <xdr:to>
      <xdr:col>13</xdr:col>
      <xdr:colOff>283625</xdr:colOff>
      <xdr:row>10</xdr:row>
      <xdr:rowOff>74676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3094077</xdr:colOff>
      <xdr:row>0</xdr:row>
      <xdr:rowOff>330200</xdr:rowOff>
    </xdr:from>
    <xdr:to>
      <xdr:col>4</xdr:col>
      <xdr:colOff>855836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3005177</xdr:colOff>
      <xdr:row>6</xdr:row>
      <xdr:rowOff>177800</xdr:rowOff>
    </xdr:from>
    <xdr:to>
      <xdr:col>3</xdr:col>
      <xdr:colOff>722107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3227427</xdr:colOff>
      <xdr:row>8</xdr:row>
      <xdr:rowOff>177800</xdr:rowOff>
    </xdr:from>
    <xdr:to>
      <xdr:col>3</xdr:col>
      <xdr:colOff>431579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2455550</xdr:colOff>
      <xdr:row>10</xdr:row>
      <xdr:rowOff>114300</xdr:rowOff>
    </xdr:from>
    <xdr:to>
      <xdr:col>4</xdr:col>
      <xdr:colOff>305570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385682</xdr:colOff>
      <xdr:row>4</xdr:row>
      <xdr:rowOff>177800</xdr:rowOff>
    </xdr:from>
    <xdr:to>
      <xdr:col>3</xdr:col>
      <xdr:colOff>495079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13</xdr:col>
      <xdr:colOff>43615</xdr:colOff>
      <xdr:row>1</xdr:row>
      <xdr:rowOff>0</xdr:rowOff>
    </xdr:from>
    <xdr:to>
      <xdr:col>18</xdr:col>
      <xdr:colOff>538397</xdr:colOff>
      <xdr:row>2</xdr:row>
      <xdr:rowOff>165738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42696" y="394338"/>
          <a:ext cx="3989161" cy="395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15759</xdr:colOff>
      <xdr:row>6</xdr:row>
      <xdr:rowOff>160967</xdr:rowOff>
    </xdr:from>
    <xdr:to>
      <xdr:col>16</xdr:col>
      <xdr:colOff>96620</xdr:colOff>
      <xdr:row>8</xdr:row>
      <xdr:rowOff>46667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14840" y="1746588"/>
          <a:ext cx="2177487" cy="36664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12</xdr:col>
      <xdr:colOff>833347</xdr:colOff>
      <xdr:row>12</xdr:row>
      <xdr:rowOff>143082</xdr:rowOff>
    </xdr:from>
    <xdr:to>
      <xdr:col>15</xdr:col>
      <xdr:colOff>19017</xdr:colOff>
      <xdr:row>13</xdr:row>
      <xdr:rowOff>212105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90363" y="3171544"/>
          <a:ext cx="1425487" cy="309496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9356</xdr:colOff>
      <xdr:row>8</xdr:row>
      <xdr:rowOff>108476</xdr:rowOff>
    </xdr:from>
    <xdr:to>
      <xdr:col>18</xdr:col>
      <xdr:colOff>255053</xdr:colOff>
      <xdr:row>10</xdr:row>
      <xdr:rowOff>57676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08437" y="2175044"/>
          <a:ext cx="3740076" cy="430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17975</xdr:colOff>
      <xdr:row>4</xdr:row>
      <xdr:rowOff>122980</xdr:rowOff>
    </xdr:from>
    <xdr:to>
      <xdr:col>15</xdr:col>
      <xdr:colOff>619910</xdr:colOff>
      <xdr:row>6</xdr:row>
      <xdr:rowOff>67633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17056" y="1227655"/>
          <a:ext cx="1999687" cy="42559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39861</xdr:colOff>
      <xdr:row>2</xdr:row>
      <xdr:rowOff>200345</xdr:rowOff>
    </xdr:from>
    <xdr:to>
      <xdr:col>18</xdr:col>
      <xdr:colOff>221612</xdr:colOff>
      <xdr:row>4</xdr:row>
      <xdr:rowOff>98745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38942" y="824073"/>
          <a:ext cx="3676130" cy="379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2287</xdr:colOff>
      <xdr:row>10</xdr:row>
      <xdr:rowOff>125722</xdr:rowOff>
    </xdr:from>
    <xdr:to>
      <xdr:col>18</xdr:col>
      <xdr:colOff>449896</xdr:colOff>
      <xdr:row>12</xdr:row>
      <xdr:rowOff>24122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01368" y="2673237"/>
          <a:ext cx="3941988" cy="379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3225800</xdr:colOff>
      <xdr:row>17</xdr:row>
      <xdr:rowOff>0</xdr:rowOff>
    </xdr:from>
    <xdr:to>
      <xdr:col>1</xdr:col>
      <xdr:colOff>3225800</xdr:colOff>
      <xdr:row>17</xdr:row>
      <xdr:rowOff>0</xdr:rowOff>
    </xdr:to>
    <xdr:sp macro="" textlink="">
      <xdr:nvSpPr>
        <xdr:cNvPr id="9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6083048" y="2244368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1</xdr:col>
      <xdr:colOff>3225800</xdr:colOff>
      <xdr:row>17</xdr:row>
      <xdr:rowOff>0</xdr:rowOff>
    </xdr:from>
    <xdr:to>
      <xdr:col>1</xdr:col>
      <xdr:colOff>3225800</xdr:colOff>
      <xdr:row>17</xdr:row>
      <xdr:rowOff>0</xdr:rowOff>
    </xdr:to>
    <xdr:sp macro="" textlink="">
      <xdr:nvSpPr>
        <xdr:cNvPr id="10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6083048" y="2244368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2</xdr:colOff>
      <xdr:row>1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2</xdr:colOff>
      <xdr:row>1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2</xdr:colOff>
      <xdr:row>1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2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2</xdr:colOff>
      <xdr:row>1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2</xdr:colOff>
      <xdr:row>1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2</xdr:colOff>
      <xdr:row>1</xdr:row>
      <xdr:rowOff>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9</xdr:row>
      <xdr:rowOff>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  <xdr:twoCellAnchor editAs="oneCell">
    <xdr:from>
      <xdr:col>0</xdr:col>
      <xdr:colOff>3225800</xdr:colOff>
      <xdr:row>9</xdr:row>
      <xdr:rowOff>0</xdr:rowOff>
    </xdr:from>
    <xdr:to>
      <xdr:col>0</xdr:col>
      <xdr:colOff>3230685</xdr:colOff>
      <xdr:row>9</xdr:row>
      <xdr:rowOff>0</xdr:rowOff>
    </xdr:to>
    <xdr:sp macro="" textlink="">
      <xdr:nvSpPr>
        <xdr:cNvPr id="1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59990C28-9832-C644-87AB-F8E6E90717AF}"/>
            </a:ext>
          </a:extLst>
        </xdr:cNvPr>
        <xdr:cNvSpPr/>
      </xdr:nvSpPr>
      <xdr:spPr bwMode="auto">
        <a:xfrm>
          <a:off x="6083300" y="48895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0</xdr:col>
      <xdr:colOff>3225800</xdr:colOff>
      <xdr:row>1</xdr:row>
      <xdr:rowOff>0</xdr:rowOff>
    </xdr:from>
    <xdr:to>
      <xdr:col>0</xdr:col>
      <xdr:colOff>3230685</xdr:colOff>
      <xdr:row>1</xdr:row>
      <xdr:rowOff>0</xdr:rowOff>
    </xdr:to>
    <xdr:sp macro="" textlink="">
      <xdr:nvSpPr>
        <xdr:cNvPr id="13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84E0DA48-B49A-5242-9237-9F5D11CF917F}"/>
            </a:ext>
          </a:extLst>
        </xdr:cNvPr>
        <xdr:cNvSpPr/>
      </xdr:nvSpPr>
      <xdr:spPr bwMode="auto">
        <a:xfrm>
          <a:off x="6083300" y="46482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394613</xdr:colOff>
      <xdr:row>0</xdr:row>
      <xdr:rowOff>304800</xdr:rowOff>
    </xdr:from>
    <xdr:to>
      <xdr:col>7</xdr:col>
      <xdr:colOff>391438</xdr:colOff>
      <xdr:row>2</xdr:row>
      <xdr:rowOff>74809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4</xdr:col>
      <xdr:colOff>461028</xdr:colOff>
      <xdr:row>1</xdr:row>
      <xdr:rowOff>0</xdr:rowOff>
    </xdr:from>
    <xdr:to>
      <xdr:col>13</xdr:col>
      <xdr:colOff>84341</xdr:colOff>
      <xdr:row>13</xdr:row>
      <xdr:rowOff>147878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E90451-6477-E941-8908-09EEAF57EA36}"/>
            </a:ext>
          </a:extLst>
        </xdr:cNvPr>
        <xdr:cNvSpPr txBox="1"/>
      </xdr:nvSpPr>
      <xdr:spPr>
        <a:xfrm>
          <a:off x="11247329" y="382740"/>
          <a:ext cx="6260368" cy="307061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sng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Analysis_ID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Analysis_ID of the response measurement, must be defined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in the `Analyses (Samples)` table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Curve_ID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the response curve series identifier, can be a number or text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efines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the measured sample amount, must be a number</a:t>
          </a: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Sample_Amount_Unit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unit of the value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stated in the Sample_Amount column.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Note: the first value will be used for data points</a:t>
          </a: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 baseline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AD7FC-2028-0D46-8BED-F11456C2F990}" name="Table5" displayName="Table5" ref="A1:M17" totalsRowShown="0" headerRowDxfId="29" dataDxfId="27" headerRowBorderDxfId="28" tableBorderDxfId="26" headerRowCellStyle="Heading 2">
  <autoFilter ref="A1:M17" xr:uid="{40BAD7FC-2028-0D46-8BED-F11456C2F990}"/>
  <tableColumns count="13">
    <tableColumn id="1" xr3:uid="{26D427B5-756A-CB48-911F-C0D5E2294425}" name="Feature_ID" dataDxfId="25" dataCellStyle="Good"/>
    <tableColumn id="2" xr3:uid="{96DB0682-2AF6-104E-B69E-D80FDAC52F8B}" name="ISTD_Feature_ID" dataDxfId="24" dataCellStyle="Good"/>
    <tableColumn id="3" xr3:uid="{F7A1B954-46CE-134E-905D-CC464B2BF426}" name="Feature_Class" dataDxfId="23"/>
    <tableColumn id="13" xr3:uid="{25B6EFFD-CA84-AD45-BDE9-0FB61717DB78}" name="Analyte_Id" dataDxfId="22"/>
    <tableColumn id="4" xr3:uid="{075F21A8-4ABE-AE4A-8F02-03E44723119B}" name="Feature_Label" dataDxfId="21" dataCellStyle="Good"/>
    <tableColumn id="5" xr3:uid="{EC20A78F-E5BA-6F48-A618-2B541CA59CB7}" name="Response_Factor" dataDxfId="20"/>
    <tableColumn id="6" xr3:uid="{C8526E84-5A07-8B48-9736-DDB186F499B3}" name="Quantifier" dataDxfId="19" dataCellStyle="Good"/>
    <tableColumn id="7" xr3:uid="{53AE7C99-5C63-414A-9F08-230A34EF08B2}" name="Valid_Integration" dataDxfId="18"/>
    <tableColumn id="8" xr3:uid="{9D7A2AB6-97A8-6E4A-932C-4871C3A46F2C}" name="Interference_Feature_ID" dataDxfId="17"/>
    <tableColumn id="9" xr3:uid="{25E1D479-1B82-8740-B6E0-EC9C915DFC6C}" name="Interference_Proportion" dataDxfId="16"/>
    <tableColumn id="12" xr3:uid="{2D27CAC1-9D26-CA42-B689-47A2EAD02BDF}" name="Curve_Fit_Model" dataDxfId="15"/>
    <tableColumn id="11" xr3:uid="{53DDFCE2-81DE-5F4C-AE60-7BACFC9427D5}" name="Curve_Fit_Weighting" dataDxfId="14"/>
    <tableColumn id="10" xr3:uid="{FEB7CE06-C930-3849-8F6F-FA5AD996C44D}" name="Remark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961C79-47CC-D548-8C16-4C2AF9B4D37D}" name="Table6" displayName="Table6" ref="A1:E33" totalsRowShown="0" headerRowDxfId="33" headerRowBorderDxfId="32" tableBorderDxfId="31">
  <autoFilter ref="A1:E33" xr:uid="{20961C79-47CC-D548-8C16-4C2AF9B4D37D}"/>
  <sortState xmlns:xlrd2="http://schemas.microsoft.com/office/spreadsheetml/2017/richdata2" ref="A2:D25">
    <sortCondition ref="B1:B25"/>
  </sortState>
  <tableColumns count="5">
    <tableColumn id="1" xr3:uid="{EF1A0082-2381-CC45-A368-BB0AFBFC5B91}" name="Sample_Id"/>
    <tableColumn id="3" xr3:uid="{22647835-BD12-2A48-85E5-9F8C2182969B}" name="Analyte_Id" dataDxfId="30"/>
    <tableColumn id="4" xr3:uid="{80EC10BE-9D10-1848-9719-A69F2998D8AD}" name="Concentration"/>
    <tableColumn id="5" xr3:uid="{48197553-4CF7-EC46-A5BA-D5DECC1BCFD2}" name="Concentration_Unit"/>
    <tableColumn id="2" xr3:uid="{102D562F-F9DE-6243-82F4-F6F12A314F9F}" name="Include_In_Analy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6" totalsRowShown="0">
  <autoFilter ref="A1:D26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26"/>
  <sheetViews>
    <sheetView topLeftCell="G1" zoomScale="193" zoomScaleNormal="193" workbookViewId="0">
      <pane ySplit="1" topLeftCell="A12" activePane="bottomLeft" state="frozen"/>
      <selection pane="bottomLeft" activeCell="C26" sqref="C26"/>
    </sheetView>
  </sheetViews>
  <sheetFormatPr baseColWidth="10" defaultColWidth="9.1640625" defaultRowHeight="19" x14ac:dyDescent="0.25"/>
  <cols>
    <col min="1" max="1" width="29.5" style="20" customWidth="1"/>
    <col min="2" max="2" width="20.5" style="20" customWidth="1"/>
    <col min="3" max="3" width="18.5" style="20" customWidth="1"/>
    <col min="4" max="4" width="24.5" style="20" customWidth="1"/>
    <col min="5" max="5" width="29.6640625" style="20" customWidth="1"/>
    <col min="6" max="6" width="36" style="20" customWidth="1"/>
    <col min="7" max="7" width="36.83203125" style="20" customWidth="1"/>
    <col min="8" max="8" width="16.83203125" style="20" customWidth="1"/>
    <col min="9" max="9" width="24.1640625" style="20" customWidth="1"/>
    <col min="10" max="10" width="21.5" style="20" customWidth="1"/>
    <col min="11" max="11" width="13.1640625" style="20" bestFit="1" customWidth="1"/>
    <col min="12" max="12" width="10.5" style="20" bestFit="1" customWidth="1"/>
    <col min="13" max="13" width="15.83203125" style="20" bestFit="1" customWidth="1"/>
    <col min="14" max="14" width="17.33203125" style="20" bestFit="1" customWidth="1"/>
    <col min="15" max="16384" width="9.1640625" style="13"/>
  </cols>
  <sheetData>
    <row r="1" spans="1:14" x14ac:dyDescent="0.2">
      <c r="A1" s="35" t="s">
        <v>111</v>
      </c>
      <c r="B1" s="35" t="s">
        <v>1</v>
      </c>
      <c r="C1" s="17" t="s">
        <v>7</v>
      </c>
      <c r="D1" s="17" t="s">
        <v>8</v>
      </c>
      <c r="E1" s="16" t="s">
        <v>2</v>
      </c>
      <c r="F1" s="16" t="s">
        <v>3</v>
      </c>
      <c r="G1" s="16" t="s">
        <v>4</v>
      </c>
      <c r="H1" s="16" t="s">
        <v>5</v>
      </c>
      <c r="I1" s="17" t="s">
        <v>6</v>
      </c>
      <c r="J1" s="17" t="s">
        <v>9</v>
      </c>
      <c r="K1" s="17" t="s">
        <v>10</v>
      </c>
      <c r="L1" s="17" t="s">
        <v>11</v>
      </c>
      <c r="M1" s="18" t="s">
        <v>12</v>
      </c>
      <c r="N1" s="18" t="s">
        <v>13</v>
      </c>
    </row>
    <row r="2" spans="1:14" x14ac:dyDescent="0.25">
      <c r="A2" t="s">
        <v>145</v>
      </c>
      <c r="B2" t="s">
        <v>15</v>
      </c>
      <c r="C2"/>
      <c r="D2">
        <v>1</v>
      </c>
      <c r="E2" s="41">
        <v>250</v>
      </c>
      <c r="F2" s="13" t="s">
        <v>14</v>
      </c>
      <c r="G2" s="13">
        <v>50</v>
      </c>
      <c r="H2">
        <v>1</v>
      </c>
      <c r="I2" s="20" t="b">
        <v>1</v>
      </c>
      <c r="J2" s="20" t="s">
        <v>118</v>
      </c>
    </row>
    <row r="3" spans="1:14" x14ac:dyDescent="0.25">
      <c r="A3" t="s">
        <v>146</v>
      </c>
      <c r="B3" t="s">
        <v>15</v>
      </c>
      <c r="C3"/>
      <c r="D3">
        <v>1</v>
      </c>
      <c r="E3" s="41">
        <v>250</v>
      </c>
      <c r="F3" s="13" t="s">
        <v>14</v>
      </c>
      <c r="G3" s="13">
        <v>50</v>
      </c>
      <c r="H3">
        <v>1</v>
      </c>
      <c r="I3" s="20" t="b">
        <v>1</v>
      </c>
      <c r="J3" s="20" t="s">
        <v>118</v>
      </c>
    </row>
    <row r="4" spans="1:14" x14ac:dyDescent="0.25">
      <c r="A4" t="s">
        <v>25</v>
      </c>
      <c r="B4" t="s">
        <v>15</v>
      </c>
      <c r="C4"/>
      <c r="D4">
        <v>1</v>
      </c>
      <c r="E4" s="41">
        <v>250</v>
      </c>
      <c r="F4" s="13" t="s">
        <v>14</v>
      </c>
      <c r="G4" s="13">
        <v>50</v>
      </c>
      <c r="H4">
        <v>1</v>
      </c>
      <c r="I4" s="20" t="b">
        <v>1</v>
      </c>
      <c r="J4" s="20" t="s">
        <v>118</v>
      </c>
    </row>
    <row r="5" spans="1:14" x14ac:dyDescent="0.25">
      <c r="A5" t="s">
        <v>147</v>
      </c>
      <c r="B5" t="s">
        <v>21</v>
      </c>
      <c r="C5" t="s">
        <v>136</v>
      </c>
      <c r="D5">
        <v>1</v>
      </c>
      <c r="E5" s="41">
        <v>250</v>
      </c>
      <c r="F5" s="13" t="s">
        <v>14</v>
      </c>
      <c r="G5" s="13">
        <v>50</v>
      </c>
      <c r="H5">
        <v>1</v>
      </c>
      <c r="I5" s="20" t="b">
        <v>1</v>
      </c>
      <c r="J5" s="20" t="s">
        <v>118</v>
      </c>
    </row>
    <row r="6" spans="1:14" x14ac:dyDescent="0.25">
      <c r="A6" t="s">
        <v>148</v>
      </c>
      <c r="B6" t="s">
        <v>104</v>
      </c>
      <c r="C6" t="s">
        <v>135</v>
      </c>
      <c r="D6">
        <v>1</v>
      </c>
      <c r="E6" s="41">
        <v>250</v>
      </c>
      <c r="F6" s="13" t="s">
        <v>14</v>
      </c>
      <c r="G6" s="13">
        <v>50</v>
      </c>
      <c r="H6">
        <v>1</v>
      </c>
      <c r="I6" s="20" t="b">
        <v>1</v>
      </c>
      <c r="J6" s="20" t="s">
        <v>118</v>
      </c>
    </row>
    <row r="7" spans="1:14" x14ac:dyDescent="0.25">
      <c r="A7" t="s">
        <v>149</v>
      </c>
      <c r="B7" t="s">
        <v>104</v>
      </c>
      <c r="C7" t="s">
        <v>137</v>
      </c>
      <c r="D7">
        <v>1</v>
      </c>
      <c r="E7" s="41">
        <v>250</v>
      </c>
      <c r="F7" s="13" t="s">
        <v>14</v>
      </c>
      <c r="G7" s="13">
        <v>50</v>
      </c>
      <c r="H7">
        <v>1</v>
      </c>
      <c r="I7" s="20" t="b">
        <v>1</v>
      </c>
      <c r="J7" s="20" t="s">
        <v>118</v>
      </c>
    </row>
    <row r="8" spans="1:14" x14ac:dyDescent="0.25">
      <c r="A8" t="s">
        <v>150</v>
      </c>
      <c r="B8" t="s">
        <v>104</v>
      </c>
      <c r="C8" t="s">
        <v>138</v>
      </c>
      <c r="D8">
        <v>1</v>
      </c>
      <c r="E8" s="41">
        <v>250</v>
      </c>
      <c r="F8" s="13" t="s">
        <v>14</v>
      </c>
      <c r="G8" s="13">
        <v>50</v>
      </c>
      <c r="H8">
        <v>1</v>
      </c>
      <c r="I8" s="20" t="b">
        <v>1</v>
      </c>
      <c r="J8" s="20" t="s">
        <v>118</v>
      </c>
    </row>
    <row r="9" spans="1:14" x14ac:dyDescent="0.25">
      <c r="A9" t="s">
        <v>151</v>
      </c>
      <c r="B9" t="s">
        <v>104</v>
      </c>
      <c r="C9" t="s">
        <v>139</v>
      </c>
      <c r="D9">
        <v>1</v>
      </c>
      <c r="E9" s="41">
        <v>250</v>
      </c>
      <c r="F9" s="13" t="s">
        <v>14</v>
      </c>
      <c r="G9" s="13">
        <v>50</v>
      </c>
      <c r="H9">
        <v>1</v>
      </c>
      <c r="I9" s="20" t="b">
        <v>1</v>
      </c>
      <c r="J9" s="20" t="s">
        <v>118</v>
      </c>
    </row>
    <row r="10" spans="1:14" x14ac:dyDescent="0.25">
      <c r="A10" t="s">
        <v>152</v>
      </c>
      <c r="B10" t="s">
        <v>104</v>
      </c>
      <c r="C10" t="s">
        <v>140</v>
      </c>
      <c r="D10">
        <v>1</v>
      </c>
      <c r="E10" s="41">
        <v>250</v>
      </c>
      <c r="F10" s="13" t="s">
        <v>14</v>
      </c>
      <c r="G10" s="13">
        <v>50</v>
      </c>
      <c r="H10">
        <v>1</v>
      </c>
      <c r="I10" s="20" t="b">
        <v>1</v>
      </c>
      <c r="J10" s="20" t="s">
        <v>118</v>
      </c>
    </row>
    <row r="11" spans="1:14" x14ac:dyDescent="0.25">
      <c r="A11" t="s">
        <v>153</v>
      </c>
      <c r="B11" t="s">
        <v>104</v>
      </c>
      <c r="C11" t="s">
        <v>141</v>
      </c>
      <c r="D11">
        <v>1</v>
      </c>
      <c r="E11" s="41">
        <v>250</v>
      </c>
      <c r="F11" s="13" t="s">
        <v>14</v>
      </c>
      <c r="G11" s="13">
        <v>50</v>
      </c>
      <c r="H11">
        <v>1</v>
      </c>
      <c r="I11" s="20" t="b">
        <v>1</v>
      </c>
      <c r="J11" s="20" t="s">
        <v>118</v>
      </c>
    </row>
    <row r="12" spans="1:14" x14ac:dyDescent="0.25">
      <c r="A12" t="s">
        <v>154</v>
      </c>
      <c r="B12" t="s">
        <v>115</v>
      </c>
      <c r="C12"/>
      <c r="D12">
        <v>1</v>
      </c>
      <c r="E12" s="41">
        <v>250</v>
      </c>
      <c r="F12" s="13" t="s">
        <v>14</v>
      </c>
      <c r="G12" s="13">
        <v>50</v>
      </c>
      <c r="H12">
        <v>1</v>
      </c>
      <c r="I12" s="20" t="b">
        <v>1</v>
      </c>
      <c r="J12" s="20" t="s">
        <v>118</v>
      </c>
    </row>
    <row r="13" spans="1:14" x14ac:dyDescent="0.25">
      <c r="A13" t="s">
        <v>155</v>
      </c>
      <c r="B13" t="s">
        <v>116</v>
      </c>
      <c r="C13" t="s">
        <v>116</v>
      </c>
      <c r="D13">
        <v>1</v>
      </c>
      <c r="E13" s="41">
        <v>250</v>
      </c>
      <c r="F13" s="13" t="s">
        <v>14</v>
      </c>
      <c r="G13" s="13">
        <v>50</v>
      </c>
      <c r="H13">
        <v>1</v>
      </c>
      <c r="I13" s="20" t="b">
        <v>1</v>
      </c>
      <c r="J13" s="20" t="s">
        <v>118</v>
      </c>
    </row>
    <row r="14" spans="1:14" x14ac:dyDescent="0.25">
      <c r="A14" t="s">
        <v>156</v>
      </c>
      <c r="B14" t="s">
        <v>116</v>
      </c>
      <c r="C14" t="s">
        <v>116</v>
      </c>
      <c r="D14">
        <v>1</v>
      </c>
      <c r="E14" s="41">
        <v>250</v>
      </c>
      <c r="F14" s="13" t="s">
        <v>14</v>
      </c>
      <c r="G14" s="13">
        <v>50</v>
      </c>
      <c r="H14">
        <v>1</v>
      </c>
      <c r="I14" s="20" t="b">
        <v>1</v>
      </c>
      <c r="J14" s="20" t="s">
        <v>118</v>
      </c>
    </row>
    <row r="15" spans="1:14" x14ac:dyDescent="0.25">
      <c r="A15" t="s">
        <v>157</v>
      </c>
      <c r="B15" t="s">
        <v>116</v>
      </c>
      <c r="C15" t="s">
        <v>116</v>
      </c>
      <c r="D15">
        <v>1</v>
      </c>
      <c r="E15" s="41">
        <v>250</v>
      </c>
      <c r="F15" s="13" t="s">
        <v>14</v>
      </c>
      <c r="G15" s="13">
        <v>50</v>
      </c>
      <c r="H15">
        <v>1</v>
      </c>
      <c r="I15" s="20" t="b">
        <v>1</v>
      </c>
      <c r="J15" s="20" t="s">
        <v>118</v>
      </c>
    </row>
    <row r="16" spans="1:14" x14ac:dyDescent="0.25">
      <c r="A16" t="s">
        <v>158</v>
      </c>
      <c r="B16" t="s">
        <v>116</v>
      </c>
      <c r="C16" t="s">
        <v>116</v>
      </c>
      <c r="D16">
        <v>1</v>
      </c>
      <c r="E16" s="41">
        <v>250</v>
      </c>
      <c r="F16" s="13" t="s">
        <v>14</v>
      </c>
      <c r="G16" s="13">
        <v>50</v>
      </c>
      <c r="H16">
        <v>1</v>
      </c>
      <c r="I16" s="20" t="b">
        <v>1</v>
      </c>
      <c r="J16" s="20" t="s">
        <v>118</v>
      </c>
    </row>
    <row r="17" spans="1:10" x14ac:dyDescent="0.25">
      <c r="A17" t="s">
        <v>159</v>
      </c>
      <c r="B17" t="s">
        <v>116</v>
      </c>
      <c r="C17" t="s">
        <v>116</v>
      </c>
      <c r="D17">
        <v>1</v>
      </c>
      <c r="E17" s="41">
        <v>250</v>
      </c>
      <c r="F17" s="13" t="s">
        <v>14</v>
      </c>
      <c r="G17" s="13">
        <v>50</v>
      </c>
      <c r="H17">
        <v>1</v>
      </c>
      <c r="I17" s="20" t="b">
        <v>1</v>
      </c>
      <c r="J17" s="20" t="s">
        <v>118</v>
      </c>
    </row>
    <row r="18" spans="1:10" x14ac:dyDescent="0.25">
      <c r="A18" t="s">
        <v>160</v>
      </c>
      <c r="B18" t="s">
        <v>117</v>
      </c>
      <c r="C18" t="s">
        <v>117</v>
      </c>
      <c r="D18">
        <v>1</v>
      </c>
      <c r="E18" s="41">
        <v>250</v>
      </c>
      <c r="F18" s="13" t="s">
        <v>14</v>
      </c>
      <c r="G18" s="13">
        <v>50</v>
      </c>
      <c r="H18">
        <v>1</v>
      </c>
      <c r="I18" s="20" t="b">
        <v>1</v>
      </c>
      <c r="J18" s="20" t="s">
        <v>118</v>
      </c>
    </row>
    <row r="19" spans="1:10" x14ac:dyDescent="0.25">
      <c r="A19" t="s">
        <v>161</v>
      </c>
      <c r="B19" t="s">
        <v>117</v>
      </c>
      <c r="C19" t="s">
        <v>117</v>
      </c>
      <c r="D19">
        <v>1</v>
      </c>
      <c r="E19" s="41">
        <v>250</v>
      </c>
      <c r="F19" s="13" t="s">
        <v>14</v>
      </c>
      <c r="G19" s="13">
        <v>50</v>
      </c>
      <c r="H19">
        <v>1</v>
      </c>
      <c r="I19" s="20" t="b">
        <v>1</v>
      </c>
      <c r="J19" s="20" t="s">
        <v>118</v>
      </c>
    </row>
    <row r="20" spans="1:10" x14ac:dyDescent="0.25">
      <c r="A20" t="s">
        <v>162</v>
      </c>
      <c r="B20" t="s">
        <v>117</v>
      </c>
      <c r="C20" t="s">
        <v>117</v>
      </c>
      <c r="D20">
        <v>1</v>
      </c>
      <c r="E20" s="41">
        <v>250</v>
      </c>
      <c r="F20" s="13" t="s">
        <v>14</v>
      </c>
      <c r="G20" s="13">
        <v>50</v>
      </c>
      <c r="H20">
        <v>1</v>
      </c>
      <c r="I20" s="20" t="b">
        <v>1</v>
      </c>
      <c r="J20" s="20" t="s">
        <v>118</v>
      </c>
    </row>
    <row r="21" spans="1:10" x14ac:dyDescent="0.25">
      <c r="A21" t="s">
        <v>163</v>
      </c>
      <c r="B21" t="s">
        <v>117</v>
      </c>
      <c r="C21" t="s">
        <v>117</v>
      </c>
      <c r="D21">
        <v>1</v>
      </c>
      <c r="E21" s="41">
        <v>250</v>
      </c>
      <c r="F21" s="13" t="s">
        <v>14</v>
      </c>
      <c r="G21" s="13">
        <v>50</v>
      </c>
      <c r="H21">
        <v>1</v>
      </c>
      <c r="I21" s="20" t="b">
        <v>1</v>
      </c>
      <c r="J21" s="20" t="s">
        <v>118</v>
      </c>
    </row>
    <row r="22" spans="1:10" x14ac:dyDescent="0.25">
      <c r="A22" t="s">
        <v>164</v>
      </c>
      <c r="B22" t="s">
        <v>117</v>
      </c>
      <c r="C22" t="s">
        <v>117</v>
      </c>
      <c r="D22">
        <v>1</v>
      </c>
      <c r="E22" s="41">
        <v>250</v>
      </c>
      <c r="F22" s="13" t="s">
        <v>14</v>
      </c>
      <c r="G22" s="13">
        <v>50</v>
      </c>
      <c r="H22">
        <v>1</v>
      </c>
      <c r="I22" s="20" t="b">
        <v>1</v>
      </c>
      <c r="J22" s="20" t="s">
        <v>118</v>
      </c>
    </row>
    <row r="23" spans="1:10" x14ac:dyDescent="0.25">
      <c r="A23" t="s">
        <v>165</v>
      </c>
      <c r="B23" t="s">
        <v>18</v>
      </c>
      <c r="C23"/>
      <c r="D23">
        <v>1</v>
      </c>
      <c r="E23" s="41">
        <v>250</v>
      </c>
      <c r="F23" s="13" t="s">
        <v>14</v>
      </c>
      <c r="G23" s="13">
        <v>50</v>
      </c>
      <c r="H23">
        <v>1</v>
      </c>
      <c r="I23" s="20" t="b">
        <v>1</v>
      </c>
      <c r="J23" s="20" t="s">
        <v>118</v>
      </c>
    </row>
    <row r="24" spans="1:10" x14ac:dyDescent="0.25">
      <c r="A24" t="s">
        <v>166</v>
      </c>
      <c r="B24" t="s">
        <v>18</v>
      </c>
      <c r="C24"/>
      <c r="D24">
        <v>1</v>
      </c>
      <c r="E24" s="41">
        <v>250</v>
      </c>
      <c r="F24" s="13" t="s">
        <v>14</v>
      </c>
      <c r="G24" s="13">
        <v>50</v>
      </c>
      <c r="H24">
        <v>1</v>
      </c>
      <c r="I24" s="20" t="b">
        <v>1</v>
      </c>
      <c r="J24" s="20" t="s">
        <v>118</v>
      </c>
    </row>
    <row r="25" spans="1:10" x14ac:dyDescent="0.25">
      <c r="A25" t="s">
        <v>167</v>
      </c>
      <c r="B25" t="s">
        <v>18</v>
      </c>
      <c r="C25"/>
      <c r="D25">
        <v>1</v>
      </c>
      <c r="E25" s="41">
        <v>250</v>
      </c>
      <c r="F25" s="13" t="s">
        <v>14</v>
      </c>
      <c r="G25" s="13">
        <v>50</v>
      </c>
      <c r="H25">
        <v>1</v>
      </c>
      <c r="I25" s="20" t="b">
        <v>1</v>
      </c>
      <c r="J25" s="20" t="s">
        <v>118</v>
      </c>
    </row>
    <row r="26" spans="1:10" x14ac:dyDescent="0.25">
      <c r="A26" t="s">
        <v>168</v>
      </c>
      <c r="B26" t="s">
        <v>18</v>
      </c>
      <c r="C26"/>
      <c r="D26">
        <v>1</v>
      </c>
      <c r="E26" s="41">
        <v>250</v>
      </c>
      <c r="F26" s="13" t="s">
        <v>14</v>
      </c>
      <c r="G26" s="13">
        <v>50</v>
      </c>
      <c r="H26">
        <v>1</v>
      </c>
      <c r="I26" s="20" t="b">
        <v>1</v>
      </c>
      <c r="J26" s="20" t="s">
        <v>118</v>
      </c>
    </row>
  </sheetData>
  <sheetProtection formatCells="0" formatColumns="0" insertRows="0" deleteRows="0" selectLockedCells="1" sort="0" autoFilter="0"/>
  <autoFilter ref="A1:N26" xr:uid="{00000000-0001-0000-0200-000000000000}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DC7C748F-8C8F-8942-A674-58882B639501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E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F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G1:I1 C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G2:G26" xr:uid="{00000000-0002-0000-0200-00000A000000}">
      <formula1>0</formula1>
    </dataValidation>
    <dataValidation type="list" allowBlank="1" showInputMessage="1" showErrorMessage="1" errorTitle="Invalid Sample Type" sqref="B2:B11" xr:uid="{E29F09A7-4582-FF4D-983C-C27517F8DEA5}">
      <formula1>SampleType</formula1>
    </dataValidation>
    <dataValidation type="decimal" operator="greaterThanOrEqual" allowBlank="1" showInputMessage="1" showErrorMessage="1" errorTitle="Invalid input" error="Input must be a non negative number" sqref="E2:E1048576" xr:uid="{00000000-0002-0000-0200-000008000000}">
      <formula1>0</formula1>
    </dataValidation>
    <dataValidation type="list" allowBlank="1" showInputMessage="1" sqref="F2:F1048576" xr:uid="{00000000-0002-0000-0200-000009000000}">
      <formula1>SampleAmountUnit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M17"/>
  <sheetViews>
    <sheetView topLeftCell="C1" zoomScale="92" zoomScaleNormal="92" workbookViewId="0">
      <pane ySplit="1" topLeftCell="A2" activePane="bottomLeft" state="frozen"/>
      <selection pane="bottomLeft" activeCell="K1" sqref="K1"/>
    </sheetView>
  </sheetViews>
  <sheetFormatPr baseColWidth="10" defaultColWidth="9.1640625" defaultRowHeight="19" x14ac:dyDescent="0.25"/>
  <cols>
    <col min="1" max="1" width="37.5" style="20" customWidth="1"/>
    <col min="2" max="2" width="42.6640625" style="20" customWidth="1"/>
    <col min="3" max="4" width="21.83203125" style="20" customWidth="1"/>
    <col min="5" max="5" width="23.6640625" style="20" bestFit="1" customWidth="1"/>
    <col min="6" max="6" width="21.5" style="20" bestFit="1" customWidth="1"/>
    <col min="7" max="7" width="18.5" style="20" customWidth="1"/>
    <col min="8" max="8" width="24.1640625" style="20" bestFit="1" customWidth="1"/>
    <col min="9" max="9" width="35.1640625" style="20" bestFit="1" customWidth="1"/>
    <col min="10" max="10" width="11.33203125" style="20" customWidth="1"/>
    <col min="11" max="12" width="32.5" style="20" customWidth="1"/>
    <col min="13" max="13" width="11" style="20" customWidth="1"/>
    <col min="14" max="16384" width="9.1640625" style="13"/>
  </cols>
  <sheetData>
    <row r="1" spans="1:13" s="32" customFormat="1" ht="30" customHeight="1" x14ac:dyDescent="0.2">
      <c r="A1" s="48" t="s">
        <v>107</v>
      </c>
      <c r="B1" s="48" t="s">
        <v>108</v>
      </c>
      <c r="C1" s="49" t="s">
        <v>26</v>
      </c>
      <c r="D1" s="49" t="s">
        <v>144</v>
      </c>
      <c r="E1" s="49" t="s">
        <v>110</v>
      </c>
      <c r="F1" s="49" t="s">
        <v>27</v>
      </c>
      <c r="G1" s="49" t="s">
        <v>28</v>
      </c>
      <c r="H1" s="49" t="s">
        <v>29</v>
      </c>
      <c r="I1" s="49" t="s">
        <v>109</v>
      </c>
      <c r="J1" s="49" t="s">
        <v>30</v>
      </c>
      <c r="K1" s="49" t="s">
        <v>178</v>
      </c>
      <c r="L1" s="49" t="s">
        <v>142</v>
      </c>
      <c r="M1" s="49" t="s">
        <v>11</v>
      </c>
    </row>
    <row r="2" spans="1:13" x14ac:dyDescent="0.25">
      <c r="A2" t="s">
        <v>124</v>
      </c>
      <c r="B2" t="s">
        <v>128</v>
      </c>
      <c r="C2" s="46" t="s">
        <v>129</v>
      </c>
      <c r="D2" t="s">
        <v>124</v>
      </c>
      <c r="E2" s="50"/>
      <c r="F2" s="47">
        <v>1</v>
      </c>
      <c r="G2" s="53" t="b">
        <v>1</v>
      </c>
      <c r="H2" s="47" t="b">
        <v>1</v>
      </c>
      <c r="K2" s="20" t="s">
        <v>143</v>
      </c>
      <c r="L2" s="20" t="s">
        <v>134</v>
      </c>
    </row>
    <row r="3" spans="1:13" x14ac:dyDescent="0.25">
      <c r="A3" t="s">
        <v>169</v>
      </c>
      <c r="B3" t="s">
        <v>175</v>
      </c>
      <c r="C3" s="46" t="s">
        <v>129</v>
      </c>
      <c r="D3" t="s">
        <v>124</v>
      </c>
      <c r="E3" s="51"/>
      <c r="F3" s="47">
        <v>1</v>
      </c>
      <c r="G3" s="53" t="b">
        <v>0</v>
      </c>
      <c r="H3" s="47" t="b">
        <v>1</v>
      </c>
      <c r="K3" s="20" t="s">
        <v>176</v>
      </c>
      <c r="L3" s="20" t="s">
        <v>134</v>
      </c>
    </row>
    <row r="4" spans="1:13" x14ac:dyDescent="0.25">
      <c r="A4" t="s">
        <v>128</v>
      </c>
      <c r="B4" t="s">
        <v>128</v>
      </c>
      <c r="C4" s="46" t="s">
        <v>129</v>
      </c>
      <c r="D4" t="s">
        <v>128</v>
      </c>
      <c r="E4" s="51"/>
      <c r="F4" s="47">
        <v>1</v>
      </c>
      <c r="G4" s="53" t="b">
        <v>1</v>
      </c>
      <c r="H4" s="47" t="b">
        <v>1</v>
      </c>
      <c r="K4" s="20" t="s">
        <v>143</v>
      </c>
      <c r="L4" s="20" t="s">
        <v>134</v>
      </c>
    </row>
    <row r="5" spans="1:13" x14ac:dyDescent="0.25">
      <c r="A5" t="s">
        <v>175</v>
      </c>
      <c r="B5" t="s">
        <v>175</v>
      </c>
      <c r="C5" s="46" t="s">
        <v>129</v>
      </c>
      <c r="D5" t="s">
        <v>128</v>
      </c>
      <c r="E5" s="51"/>
      <c r="F5" s="47">
        <v>1</v>
      </c>
      <c r="G5" s="53" t="b">
        <v>0</v>
      </c>
      <c r="H5" s="47" t="b">
        <v>1</v>
      </c>
      <c r="K5" s="20" t="s">
        <v>176</v>
      </c>
      <c r="L5" s="20" t="s">
        <v>134</v>
      </c>
    </row>
    <row r="6" spans="1:13" x14ac:dyDescent="0.25">
      <c r="A6" t="s">
        <v>121</v>
      </c>
      <c r="B6" t="s">
        <v>125</v>
      </c>
      <c r="C6" s="46" t="s">
        <v>130</v>
      </c>
      <c r="D6" t="s">
        <v>121</v>
      </c>
      <c r="E6" s="51"/>
      <c r="F6" s="47">
        <v>1</v>
      </c>
      <c r="G6" s="53" t="b">
        <v>1</v>
      </c>
      <c r="H6" s="47" t="b">
        <v>1</v>
      </c>
      <c r="K6" s="20" t="s">
        <v>143</v>
      </c>
      <c r="L6" s="20" t="s">
        <v>134</v>
      </c>
    </row>
    <row r="7" spans="1:13" x14ac:dyDescent="0.25">
      <c r="A7" t="s">
        <v>177</v>
      </c>
      <c r="B7" t="s">
        <v>171</v>
      </c>
      <c r="C7" s="46" t="s">
        <v>130</v>
      </c>
      <c r="D7" t="s">
        <v>121</v>
      </c>
      <c r="E7" s="51"/>
      <c r="F7" s="47">
        <v>1</v>
      </c>
      <c r="G7" s="53" t="b">
        <v>0</v>
      </c>
      <c r="H7" s="47" t="b">
        <v>1</v>
      </c>
      <c r="K7" s="20" t="s">
        <v>176</v>
      </c>
      <c r="L7" s="20" t="s">
        <v>134</v>
      </c>
    </row>
    <row r="8" spans="1:13" x14ac:dyDescent="0.25">
      <c r="A8" t="s">
        <v>125</v>
      </c>
      <c r="B8" t="s">
        <v>125</v>
      </c>
      <c r="C8" s="46" t="s">
        <v>130</v>
      </c>
      <c r="D8" t="s">
        <v>125</v>
      </c>
      <c r="E8" s="51"/>
      <c r="F8" s="47">
        <v>1</v>
      </c>
      <c r="G8" s="53" t="b">
        <v>1</v>
      </c>
      <c r="H8" s="47" t="b">
        <v>1</v>
      </c>
      <c r="K8" s="20" t="s">
        <v>143</v>
      </c>
      <c r="L8" s="20" t="s">
        <v>134</v>
      </c>
    </row>
    <row r="9" spans="1:13" x14ac:dyDescent="0.25">
      <c r="A9" t="s">
        <v>171</v>
      </c>
      <c r="B9" t="s">
        <v>171</v>
      </c>
      <c r="C9" s="46" t="s">
        <v>130</v>
      </c>
      <c r="D9" t="s">
        <v>125</v>
      </c>
      <c r="E9" s="51"/>
      <c r="F9" s="47">
        <v>1</v>
      </c>
      <c r="G9" s="53" t="b">
        <v>0</v>
      </c>
      <c r="H9" s="47" t="b">
        <v>1</v>
      </c>
      <c r="K9" s="20" t="s">
        <v>176</v>
      </c>
      <c r="L9" s="20" t="s">
        <v>134</v>
      </c>
    </row>
    <row r="10" spans="1:13" x14ac:dyDescent="0.25">
      <c r="A10" t="s">
        <v>122</v>
      </c>
      <c r="B10" t="s">
        <v>126</v>
      </c>
      <c r="C10" s="52" t="s">
        <v>131</v>
      </c>
      <c r="D10" t="s">
        <v>122</v>
      </c>
      <c r="E10" s="51"/>
      <c r="F10" s="47">
        <v>1</v>
      </c>
      <c r="G10" s="53" t="b">
        <v>1</v>
      </c>
      <c r="H10" s="47" t="b">
        <v>1</v>
      </c>
      <c r="K10" s="20" t="s">
        <v>143</v>
      </c>
      <c r="L10" s="20" t="s">
        <v>134</v>
      </c>
    </row>
    <row r="11" spans="1:13" x14ac:dyDescent="0.25">
      <c r="A11" t="s">
        <v>172</v>
      </c>
      <c r="B11" t="s">
        <v>170</v>
      </c>
      <c r="C11" s="52" t="s">
        <v>131</v>
      </c>
      <c r="D11" t="s">
        <v>122</v>
      </c>
      <c r="E11" s="51"/>
      <c r="F11" s="47">
        <v>1</v>
      </c>
      <c r="G11" s="53" t="b">
        <v>0</v>
      </c>
      <c r="H11" s="47" t="b">
        <v>1</v>
      </c>
      <c r="K11" s="20" t="s">
        <v>176</v>
      </c>
      <c r="L11" s="20" t="s">
        <v>134</v>
      </c>
    </row>
    <row r="12" spans="1:13" x14ac:dyDescent="0.25">
      <c r="A12" t="s">
        <v>126</v>
      </c>
      <c r="B12" t="s">
        <v>126</v>
      </c>
      <c r="C12" s="52" t="s">
        <v>131</v>
      </c>
      <c r="D12" t="s">
        <v>126</v>
      </c>
      <c r="E12" s="51"/>
      <c r="F12" s="47">
        <v>1</v>
      </c>
      <c r="G12" s="53" t="b">
        <v>1</v>
      </c>
      <c r="H12" s="47" t="b">
        <v>1</v>
      </c>
      <c r="K12" s="20" t="s">
        <v>143</v>
      </c>
      <c r="L12" s="20" t="s">
        <v>134</v>
      </c>
    </row>
    <row r="13" spans="1:13" x14ac:dyDescent="0.25">
      <c r="A13" t="s">
        <v>170</v>
      </c>
      <c r="B13" t="s">
        <v>170</v>
      </c>
      <c r="C13" s="52" t="s">
        <v>131</v>
      </c>
      <c r="D13" t="s">
        <v>126</v>
      </c>
      <c r="E13" s="51"/>
      <c r="F13" s="47">
        <v>1</v>
      </c>
      <c r="G13" s="53" t="b">
        <v>0</v>
      </c>
      <c r="H13" s="47" t="b">
        <v>1</v>
      </c>
      <c r="K13" s="20" t="s">
        <v>176</v>
      </c>
      <c r="L13" s="20" t="s">
        <v>134</v>
      </c>
    </row>
    <row r="14" spans="1:13" x14ac:dyDescent="0.25">
      <c r="A14" t="s">
        <v>123</v>
      </c>
      <c r="B14" t="s">
        <v>127</v>
      </c>
      <c r="C14" s="52" t="s">
        <v>131</v>
      </c>
      <c r="D14" t="s">
        <v>123</v>
      </c>
      <c r="E14" s="51"/>
      <c r="F14" s="47">
        <v>1</v>
      </c>
      <c r="G14" s="53" t="b">
        <v>1</v>
      </c>
      <c r="H14" s="47" t="b">
        <v>1</v>
      </c>
      <c r="K14" s="20" t="s">
        <v>143</v>
      </c>
      <c r="L14" s="20" t="s">
        <v>134</v>
      </c>
    </row>
    <row r="15" spans="1:13" x14ac:dyDescent="0.25">
      <c r="A15" t="s">
        <v>173</v>
      </c>
      <c r="B15" t="s">
        <v>174</v>
      </c>
      <c r="C15" s="52" t="s">
        <v>131</v>
      </c>
      <c r="D15" t="s">
        <v>123</v>
      </c>
      <c r="E15" s="51"/>
      <c r="F15" s="47">
        <v>1</v>
      </c>
      <c r="G15" s="53" t="b">
        <v>0</v>
      </c>
      <c r="H15" s="47" t="b">
        <v>1</v>
      </c>
      <c r="K15" s="20" t="s">
        <v>176</v>
      </c>
      <c r="L15" s="20" t="s">
        <v>134</v>
      </c>
    </row>
    <row r="16" spans="1:13" x14ac:dyDescent="0.25">
      <c r="A16" t="s">
        <v>127</v>
      </c>
      <c r="B16" t="s">
        <v>127</v>
      </c>
      <c r="C16" s="52" t="s">
        <v>131</v>
      </c>
      <c r="D16" t="s">
        <v>127</v>
      </c>
      <c r="E16" s="51"/>
      <c r="F16" s="47">
        <v>1</v>
      </c>
      <c r="G16" s="53" t="b">
        <v>1</v>
      </c>
      <c r="H16" s="47" t="b">
        <v>1</v>
      </c>
      <c r="K16" s="20" t="s">
        <v>143</v>
      </c>
      <c r="L16" s="20" t="s">
        <v>134</v>
      </c>
    </row>
    <row r="17" spans="1:12" x14ac:dyDescent="0.25">
      <c r="A17" t="s">
        <v>174</v>
      </c>
      <c r="B17" t="s">
        <v>174</v>
      </c>
      <c r="C17" s="52" t="s">
        <v>131</v>
      </c>
      <c r="D17" t="s">
        <v>127</v>
      </c>
      <c r="E17" s="51"/>
      <c r="F17" s="47">
        <v>1</v>
      </c>
      <c r="G17" s="53" t="b">
        <v>0</v>
      </c>
      <c r="H17" s="47" t="b">
        <v>1</v>
      </c>
      <c r="K17" s="20" t="s">
        <v>176</v>
      </c>
      <c r="L17" s="20" t="s">
        <v>134</v>
      </c>
    </row>
  </sheetData>
  <sheetProtection formatCells="0" formatColumns="0" insertRows="0" deleteRows="0" selectLockedCells="1" sort="0" autoFilter="0"/>
  <phoneticPr fontId="32" type="noConversion"/>
  <dataValidations disablePrompts="1" count="2">
    <dataValidation type="custom" showInputMessage="1" showErrorMessage="1" errorTitle="Column Name Change" error="Please do not change the column names" sqref="C1:D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F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L192"/>
  <sheetViews>
    <sheetView zoomScale="92" zoomScaleNormal="92" workbookViewId="0">
      <pane ySplit="1" topLeftCell="A2" activePane="bottomLeft" state="frozen"/>
      <selection pane="bottomLeft" activeCell="A19" sqref="A19"/>
    </sheetView>
  </sheetViews>
  <sheetFormatPr baseColWidth="10" defaultColWidth="9.1640625" defaultRowHeight="19" x14ac:dyDescent="0.25"/>
  <cols>
    <col min="1" max="1" width="46.1640625" style="20" bestFit="1" customWidth="1"/>
    <col min="2" max="2" width="26.33203125" style="20" customWidth="1"/>
    <col min="3" max="3" width="18.6640625" style="24" customWidth="1"/>
    <col min="4" max="4" width="32.5" style="20" customWidth="1"/>
    <col min="5" max="5" width="17.6640625" style="20" customWidth="1"/>
    <col min="8" max="8" width="24.1640625" style="34" hidden="1" customWidth="1"/>
    <col min="9" max="12" width="9.1640625" style="34"/>
    <col min="13" max="16384" width="9.1640625" style="13"/>
  </cols>
  <sheetData>
    <row r="1" spans="1:8" ht="30" customHeight="1" x14ac:dyDescent="0.2">
      <c r="A1" s="36" t="s">
        <v>108</v>
      </c>
      <c r="B1" s="36" t="s">
        <v>31</v>
      </c>
      <c r="C1" s="22" t="s">
        <v>32</v>
      </c>
      <c r="D1" s="21" t="s">
        <v>33</v>
      </c>
      <c r="E1" s="21" t="s">
        <v>34</v>
      </c>
      <c r="H1" s="33" t="s">
        <v>35</v>
      </c>
    </row>
    <row r="2" spans="1:8" x14ac:dyDescent="0.25">
      <c r="A2" s="66" t="s">
        <v>125</v>
      </c>
      <c r="B2" s="60">
        <v>8.31</v>
      </c>
      <c r="C2" s="23"/>
      <c r="D2" s="42"/>
      <c r="E2" s="44"/>
    </row>
    <row r="3" spans="1:8" x14ac:dyDescent="0.25">
      <c r="A3" s="9" t="s">
        <v>171</v>
      </c>
      <c r="B3" s="60">
        <v>8.31</v>
      </c>
      <c r="C3" s="23"/>
      <c r="D3" s="42"/>
      <c r="E3" s="43"/>
    </row>
    <row r="4" spans="1:8" x14ac:dyDescent="0.25">
      <c r="A4" s="66" t="s">
        <v>128</v>
      </c>
      <c r="B4" s="60">
        <v>14.4</v>
      </c>
      <c r="C4" s="23"/>
      <c r="D4" s="42"/>
      <c r="E4" s="43"/>
    </row>
    <row r="5" spans="1:8" x14ac:dyDescent="0.25">
      <c r="A5" s="9" t="s">
        <v>175</v>
      </c>
      <c r="B5" s="60">
        <v>14.4</v>
      </c>
      <c r="C5" s="23"/>
      <c r="D5" s="42"/>
      <c r="E5" s="45"/>
    </row>
    <row r="6" spans="1:8" x14ac:dyDescent="0.25">
      <c r="A6" s="66" t="s">
        <v>127</v>
      </c>
      <c r="B6">
        <v>69</v>
      </c>
      <c r="C6" s="23"/>
      <c r="D6" s="42"/>
      <c r="E6" s="43"/>
    </row>
    <row r="7" spans="1:8" x14ac:dyDescent="0.25">
      <c r="A7" s="9" t="s">
        <v>174</v>
      </c>
      <c r="B7">
        <v>69</v>
      </c>
      <c r="C7" s="23"/>
      <c r="D7" s="42"/>
      <c r="E7" s="44"/>
    </row>
    <row r="8" spans="1:8" x14ac:dyDescent="0.25">
      <c r="A8" s="66" t="s">
        <v>126</v>
      </c>
      <c r="B8" s="41">
        <v>13.9</v>
      </c>
      <c r="C8" s="23"/>
      <c r="D8" s="42"/>
      <c r="E8" s="45"/>
    </row>
    <row r="9" spans="1:8" x14ac:dyDescent="0.25">
      <c r="A9" s="9" t="s">
        <v>170</v>
      </c>
      <c r="B9" s="41">
        <v>13.9</v>
      </c>
      <c r="C9" s="23"/>
    </row>
    <row r="10" spans="1:8" x14ac:dyDescent="0.25">
      <c r="A10"/>
      <c r="C10" s="23"/>
    </row>
    <row r="11" spans="1:8" x14ac:dyDescent="0.25">
      <c r="A11"/>
      <c r="C11" s="23"/>
    </row>
    <row r="12" spans="1:8" x14ac:dyDescent="0.25">
      <c r="A12"/>
      <c r="C12" s="23"/>
    </row>
    <row r="13" spans="1:8" x14ac:dyDescent="0.25">
      <c r="A13"/>
      <c r="C13" s="23"/>
    </row>
    <row r="14" spans="1:8" x14ac:dyDescent="0.25">
      <c r="A14"/>
      <c r="C14" s="23"/>
    </row>
    <row r="15" spans="1:8" x14ac:dyDescent="0.25">
      <c r="A15"/>
      <c r="C15" s="23"/>
    </row>
    <row r="16" spans="1:8" x14ac:dyDescent="0.25">
      <c r="A16"/>
      <c r="C16" s="23"/>
    </row>
    <row r="17" spans="1:3" x14ac:dyDescent="0.25">
      <c r="A17" s="19"/>
      <c r="C17" s="23"/>
    </row>
    <row r="18" spans="1:3" x14ac:dyDescent="0.25">
      <c r="A18" s="19"/>
      <c r="C18" s="23"/>
    </row>
    <row r="19" spans="1:3" x14ac:dyDescent="0.25">
      <c r="A19" s="19"/>
      <c r="C19" s="23"/>
    </row>
    <row r="20" spans="1:3" x14ac:dyDescent="0.25">
      <c r="A20" s="19"/>
      <c r="C20" s="23"/>
    </row>
    <row r="21" spans="1:3" x14ac:dyDescent="0.25">
      <c r="A21" s="19"/>
      <c r="C21" s="23"/>
    </row>
    <row r="22" spans="1:3" x14ac:dyDescent="0.25">
      <c r="A22" s="19"/>
      <c r="C22" s="23"/>
    </row>
    <row r="23" spans="1:3" x14ac:dyDescent="0.25">
      <c r="A23" s="19"/>
      <c r="C23" s="23"/>
    </row>
    <row r="24" spans="1:3" x14ac:dyDescent="0.25">
      <c r="A24" s="19"/>
      <c r="C24" s="23"/>
    </row>
    <row r="25" spans="1:3" x14ac:dyDescent="0.25">
      <c r="A25" s="19"/>
      <c r="C25" s="23"/>
    </row>
    <row r="26" spans="1:3" x14ac:dyDescent="0.25">
      <c r="A26" s="19"/>
      <c r="C26" s="23"/>
    </row>
    <row r="27" spans="1:3" x14ac:dyDescent="0.25">
      <c r="A27" s="19"/>
      <c r="C27" s="23"/>
    </row>
    <row r="28" spans="1:3" x14ac:dyDescent="0.25">
      <c r="A28" s="19"/>
      <c r="C28" s="23"/>
    </row>
    <row r="29" spans="1:3" x14ac:dyDescent="0.25">
      <c r="A29" s="19"/>
      <c r="C29" s="23"/>
    </row>
    <row r="30" spans="1:3" x14ac:dyDescent="0.25">
      <c r="A30" s="19"/>
      <c r="C30" s="23"/>
    </row>
    <row r="31" spans="1:3" x14ac:dyDescent="0.25">
      <c r="A31" s="19"/>
      <c r="C31" s="23"/>
    </row>
    <row r="32" spans="1:3" x14ac:dyDescent="0.25">
      <c r="A32" s="19"/>
      <c r="C32" s="23"/>
    </row>
    <row r="33" spans="1:3" x14ac:dyDescent="0.25">
      <c r="A33" s="19"/>
      <c r="C33" s="23"/>
    </row>
    <row r="34" spans="1:3" x14ac:dyDescent="0.25">
      <c r="A34" s="19"/>
      <c r="C34" s="23"/>
    </row>
    <row r="35" spans="1:3" x14ac:dyDescent="0.25">
      <c r="A35" s="19"/>
      <c r="C35" s="23"/>
    </row>
    <row r="36" spans="1:3" x14ac:dyDescent="0.25">
      <c r="A36" s="19"/>
      <c r="C36" s="23"/>
    </row>
    <row r="37" spans="1:3" x14ac:dyDescent="0.25">
      <c r="A37" s="19"/>
      <c r="C37" s="23"/>
    </row>
    <row r="38" spans="1:3" x14ac:dyDescent="0.25">
      <c r="A38" s="19"/>
      <c r="C38" s="23"/>
    </row>
    <row r="39" spans="1:3" x14ac:dyDescent="0.25">
      <c r="A39" s="19"/>
      <c r="C39" s="23"/>
    </row>
    <row r="40" spans="1:3" x14ac:dyDescent="0.25">
      <c r="A40" s="19"/>
      <c r="C40" s="23"/>
    </row>
    <row r="41" spans="1:3" x14ac:dyDescent="0.25">
      <c r="A41" s="19"/>
      <c r="C41" s="23"/>
    </row>
    <row r="42" spans="1:3" x14ac:dyDescent="0.25">
      <c r="A42" s="19"/>
      <c r="C42" s="23"/>
    </row>
    <row r="43" spans="1:3" x14ac:dyDescent="0.25">
      <c r="A43" s="19"/>
      <c r="C43" s="23"/>
    </row>
    <row r="44" spans="1:3" x14ac:dyDescent="0.25">
      <c r="A44" s="19"/>
      <c r="C44" s="23"/>
    </row>
    <row r="45" spans="1:3" x14ac:dyDescent="0.25">
      <c r="A45" s="19"/>
      <c r="C45" s="23"/>
    </row>
    <row r="46" spans="1:3" x14ac:dyDescent="0.25">
      <c r="A46" s="19"/>
      <c r="C46" s="23"/>
    </row>
    <row r="47" spans="1:3" x14ac:dyDescent="0.25">
      <c r="A47" s="19"/>
    </row>
    <row r="48" spans="1:3" x14ac:dyDescent="0.25">
      <c r="A48" s="19"/>
    </row>
    <row r="49" spans="1:1" x14ac:dyDescent="0.25">
      <c r="A49" s="19"/>
    </row>
    <row r="50" spans="1:1" x14ac:dyDescent="0.25">
      <c r="A50" s="19"/>
    </row>
    <row r="51" spans="1:1" x14ac:dyDescent="0.25">
      <c r="A51" s="19"/>
    </row>
    <row r="52" spans="1:1" x14ac:dyDescent="0.25">
      <c r="A52" s="19"/>
    </row>
    <row r="53" spans="1:1" x14ac:dyDescent="0.25">
      <c r="A53" s="19"/>
    </row>
    <row r="54" spans="1:1" x14ac:dyDescent="0.25">
      <c r="A54" s="19"/>
    </row>
    <row r="55" spans="1:1" x14ac:dyDescent="0.25">
      <c r="A55" s="19"/>
    </row>
    <row r="56" spans="1:1" x14ac:dyDescent="0.25">
      <c r="A56" s="19"/>
    </row>
    <row r="57" spans="1:1" x14ac:dyDescent="0.25">
      <c r="A57" s="19"/>
    </row>
    <row r="58" spans="1:1" x14ac:dyDescent="0.25">
      <c r="A58" s="19"/>
    </row>
    <row r="59" spans="1:1" x14ac:dyDescent="0.25">
      <c r="A59" s="19"/>
    </row>
    <row r="60" spans="1:1" x14ac:dyDescent="0.25">
      <c r="A60" s="19"/>
    </row>
    <row r="61" spans="1:1" x14ac:dyDescent="0.25">
      <c r="A61" s="19"/>
    </row>
    <row r="62" spans="1:1" x14ac:dyDescent="0.25">
      <c r="A62" s="19"/>
    </row>
    <row r="63" spans="1:1" x14ac:dyDescent="0.25">
      <c r="A63" s="19"/>
    </row>
    <row r="64" spans="1:1" x14ac:dyDescent="0.25">
      <c r="A64" s="19"/>
    </row>
    <row r="65" spans="1:1" x14ac:dyDescent="0.25">
      <c r="A65" s="19"/>
    </row>
    <row r="66" spans="1:1" x14ac:dyDescent="0.25">
      <c r="A66" s="19"/>
    </row>
    <row r="67" spans="1:1" x14ac:dyDescent="0.25">
      <c r="A67" s="19"/>
    </row>
    <row r="68" spans="1:1" x14ac:dyDescent="0.25">
      <c r="A68" s="19"/>
    </row>
    <row r="69" spans="1:1" x14ac:dyDescent="0.25">
      <c r="A69" s="19"/>
    </row>
    <row r="70" spans="1:1" x14ac:dyDescent="0.25">
      <c r="A70" s="19"/>
    </row>
    <row r="71" spans="1:1" x14ac:dyDescent="0.25">
      <c r="A71" s="19"/>
    </row>
    <row r="72" spans="1:1" x14ac:dyDescent="0.25">
      <c r="A72" s="19"/>
    </row>
    <row r="73" spans="1:1" x14ac:dyDescent="0.25">
      <c r="A73" s="19"/>
    </row>
    <row r="74" spans="1:1" x14ac:dyDescent="0.25">
      <c r="A74" s="19"/>
    </row>
    <row r="75" spans="1:1" x14ac:dyDescent="0.25">
      <c r="A75" s="19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  <row r="135" spans="1:1" x14ac:dyDescent="0.25">
      <c r="A135" s="19"/>
    </row>
    <row r="136" spans="1:1" x14ac:dyDescent="0.25">
      <c r="A136" s="19"/>
    </row>
    <row r="137" spans="1:1" x14ac:dyDescent="0.25">
      <c r="A137" s="19"/>
    </row>
    <row r="138" spans="1:1" x14ac:dyDescent="0.25">
      <c r="A138" s="19"/>
    </row>
    <row r="139" spans="1:1" x14ac:dyDescent="0.25">
      <c r="A139" s="19"/>
    </row>
    <row r="140" spans="1:1" x14ac:dyDescent="0.25">
      <c r="A140" s="19"/>
    </row>
    <row r="141" spans="1:1" x14ac:dyDescent="0.25">
      <c r="A141" s="19"/>
    </row>
    <row r="142" spans="1:1" x14ac:dyDescent="0.25">
      <c r="A142" s="19"/>
    </row>
    <row r="143" spans="1:1" x14ac:dyDescent="0.25">
      <c r="A143" s="19"/>
    </row>
    <row r="144" spans="1:1" x14ac:dyDescent="0.25">
      <c r="A144" s="19"/>
    </row>
    <row r="145" spans="1:1" x14ac:dyDescent="0.25">
      <c r="A145" s="19"/>
    </row>
    <row r="146" spans="1:1" x14ac:dyDescent="0.25">
      <c r="A146" s="19"/>
    </row>
    <row r="147" spans="1:1" x14ac:dyDescent="0.25">
      <c r="A147" s="19"/>
    </row>
    <row r="148" spans="1:1" x14ac:dyDescent="0.25">
      <c r="A148" s="19"/>
    </row>
    <row r="149" spans="1:1" x14ac:dyDescent="0.25">
      <c r="A149" s="19"/>
    </row>
    <row r="150" spans="1:1" x14ac:dyDescent="0.25">
      <c r="A150" s="19"/>
    </row>
    <row r="151" spans="1:1" x14ac:dyDescent="0.25">
      <c r="A151" s="19"/>
    </row>
    <row r="152" spans="1:1" x14ac:dyDescent="0.25">
      <c r="A152" s="19"/>
    </row>
    <row r="153" spans="1:1" x14ac:dyDescent="0.25">
      <c r="A153" s="19"/>
    </row>
    <row r="154" spans="1:1" x14ac:dyDescent="0.25">
      <c r="A154" s="19"/>
    </row>
    <row r="155" spans="1:1" x14ac:dyDescent="0.25">
      <c r="A155" s="19"/>
    </row>
    <row r="156" spans="1:1" x14ac:dyDescent="0.25">
      <c r="A156" s="19"/>
    </row>
    <row r="157" spans="1:1" x14ac:dyDescent="0.25">
      <c r="A157" s="19"/>
    </row>
    <row r="158" spans="1:1" x14ac:dyDescent="0.25">
      <c r="A158" s="19"/>
    </row>
    <row r="159" spans="1:1" x14ac:dyDescent="0.25">
      <c r="A159" s="19"/>
    </row>
    <row r="160" spans="1:1" x14ac:dyDescent="0.25">
      <c r="A160" s="19"/>
    </row>
    <row r="161" spans="1:1" x14ac:dyDescent="0.25">
      <c r="A161" s="19"/>
    </row>
    <row r="162" spans="1:1" x14ac:dyDescent="0.25">
      <c r="A162" s="19"/>
    </row>
    <row r="163" spans="1:1" x14ac:dyDescent="0.25">
      <c r="A163" s="19"/>
    </row>
    <row r="164" spans="1:1" x14ac:dyDescent="0.25">
      <c r="A164" s="19"/>
    </row>
    <row r="165" spans="1:1" x14ac:dyDescent="0.25">
      <c r="A165" s="19"/>
    </row>
    <row r="166" spans="1:1" x14ac:dyDescent="0.25">
      <c r="A166" s="19"/>
    </row>
    <row r="167" spans="1:1" x14ac:dyDescent="0.25">
      <c r="A167" s="19"/>
    </row>
    <row r="168" spans="1:1" x14ac:dyDescent="0.25">
      <c r="A168" s="19"/>
    </row>
    <row r="169" spans="1:1" x14ac:dyDescent="0.25">
      <c r="A169" s="19"/>
    </row>
    <row r="170" spans="1:1" x14ac:dyDescent="0.25">
      <c r="A170" s="19"/>
    </row>
    <row r="171" spans="1:1" x14ac:dyDescent="0.25">
      <c r="A171" s="19"/>
    </row>
    <row r="172" spans="1:1" x14ac:dyDescent="0.25">
      <c r="A172" s="19"/>
    </row>
    <row r="173" spans="1:1" x14ac:dyDescent="0.25">
      <c r="A173" s="19"/>
    </row>
    <row r="174" spans="1:1" x14ac:dyDescent="0.25">
      <c r="A174" s="19"/>
    </row>
    <row r="175" spans="1:1" x14ac:dyDescent="0.25">
      <c r="A175" s="19"/>
    </row>
    <row r="176" spans="1:1" x14ac:dyDescent="0.25">
      <c r="A176" s="19"/>
    </row>
    <row r="177" spans="1:1" x14ac:dyDescent="0.25">
      <c r="A177" s="19"/>
    </row>
    <row r="178" spans="1:1" x14ac:dyDescent="0.25">
      <c r="A178" s="19"/>
    </row>
    <row r="179" spans="1:1" x14ac:dyDescent="0.25">
      <c r="A179" s="19"/>
    </row>
    <row r="180" spans="1:1" x14ac:dyDescent="0.25">
      <c r="A180" s="19"/>
    </row>
    <row r="181" spans="1:1" x14ac:dyDescent="0.25">
      <c r="A181" s="19"/>
    </row>
    <row r="182" spans="1:1" x14ac:dyDescent="0.25">
      <c r="A182" s="19"/>
    </row>
    <row r="183" spans="1:1" x14ac:dyDescent="0.25">
      <c r="A183" s="19"/>
    </row>
    <row r="184" spans="1:1" x14ac:dyDescent="0.25">
      <c r="A184" s="19"/>
    </row>
    <row r="185" spans="1:1" x14ac:dyDescent="0.25">
      <c r="A185" s="19"/>
    </row>
    <row r="186" spans="1:1" x14ac:dyDescent="0.25">
      <c r="A186" s="19"/>
    </row>
    <row r="187" spans="1:1" x14ac:dyDescent="0.25">
      <c r="A187" s="19"/>
    </row>
    <row r="188" spans="1:1" x14ac:dyDescent="0.25">
      <c r="A188" s="19"/>
    </row>
    <row r="189" spans="1:1" x14ac:dyDescent="0.25">
      <c r="A189" s="19"/>
    </row>
    <row r="190" spans="1:1" x14ac:dyDescent="0.25">
      <c r="A190" s="19"/>
    </row>
    <row r="191" spans="1:1" x14ac:dyDescent="0.25">
      <c r="A191" s="19"/>
    </row>
    <row r="192" spans="1:1" x14ac:dyDescent="0.25">
      <c r="A192" s="19"/>
    </row>
  </sheetData>
  <sheetProtection formatCells="0" formatColumns="0" insertRows="0" deleteRows="0" selectLockedCells="1" sort="0" autoFilter="0"/>
  <sortState xmlns:xlrd2="http://schemas.microsoft.com/office/spreadsheetml/2017/richdata2" ref="A2:B9">
    <sortCondition ref="A2:A9"/>
  </sortState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E5:E9 E2:E3 D10:E1048576 B10:B1048576 H2:H1048576 C2:C1048576" xr:uid="{00000000-0002-0000-0100-000007000000}">
      <formula1>0</formula1>
    </dataValidation>
    <dataValidation operator="greaterThan" allowBlank="1" showInputMessage="1" showErrorMessage="1" errorTitle="Concentration Input Error" error="Input must be strictly a positive number" sqref="B6:B9 E2:E8 C2:C1048576" xr:uid="{7B115AA5-E9CC-481E-B351-368CF3195A3F}"/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08"/>
  <sheetViews>
    <sheetView zoomScale="146" zoomScaleNormal="146" workbookViewId="0">
      <pane ySplit="1" topLeftCell="A2" activePane="bottomLeft" state="frozen"/>
      <selection pane="bottomLeft" activeCell="B11" sqref="B11"/>
    </sheetView>
  </sheetViews>
  <sheetFormatPr baseColWidth="10" defaultColWidth="9.1640625" defaultRowHeight="19" x14ac:dyDescent="0.25"/>
  <cols>
    <col min="1" max="1" width="28.6640625" style="20" bestFit="1" customWidth="1"/>
    <col min="2" max="2" width="31.1640625" style="40" customWidth="1"/>
    <col min="3" max="4" width="40.83203125" style="20" customWidth="1"/>
    <col min="5" max="5" width="14" style="13" bestFit="1" customWidth="1"/>
    <col min="6" max="16384" width="9.1640625" style="14"/>
  </cols>
  <sheetData>
    <row r="1" spans="1:5" ht="30" customHeight="1" x14ac:dyDescent="0.2">
      <c r="A1" s="35" t="s">
        <v>111</v>
      </c>
      <c r="B1" s="35" t="s">
        <v>114</v>
      </c>
      <c r="C1" s="35" t="s">
        <v>112</v>
      </c>
      <c r="D1" s="35" t="s">
        <v>113</v>
      </c>
      <c r="E1" s="15" t="s">
        <v>12</v>
      </c>
    </row>
    <row r="2" spans="1:5" x14ac:dyDescent="0.25">
      <c r="D2" s="54"/>
    </row>
    <row r="3" spans="1:5" x14ac:dyDescent="0.25">
      <c r="D3" s="54"/>
    </row>
    <row r="4" spans="1:5" x14ac:dyDescent="0.25">
      <c r="D4" s="54"/>
    </row>
    <row r="5" spans="1:5" x14ac:dyDescent="0.25">
      <c r="D5" s="54"/>
    </row>
    <row r="6" spans="1:5" x14ac:dyDescent="0.25">
      <c r="D6" s="54"/>
    </row>
    <row r="7" spans="1:5" x14ac:dyDescent="0.25">
      <c r="D7" s="54"/>
    </row>
    <row r="8" spans="1:5" x14ac:dyDescent="0.25">
      <c r="D8" s="54"/>
    </row>
    <row r="9" spans="1:5" x14ac:dyDescent="0.25">
      <c r="D9" s="54"/>
    </row>
    <row r="10" spans="1:5" x14ac:dyDescent="0.25">
      <c r="D10" s="54"/>
    </row>
    <row r="11" spans="1:5" x14ac:dyDescent="0.25">
      <c r="D11" s="54"/>
    </row>
    <row r="12" spans="1:5" x14ac:dyDescent="0.25">
      <c r="D12" s="54"/>
    </row>
    <row r="13" spans="1:5" x14ac:dyDescent="0.25">
      <c r="D13" s="54"/>
    </row>
    <row r="14" spans="1:5" x14ac:dyDescent="0.25">
      <c r="D14" s="54"/>
    </row>
    <row r="15" spans="1:5" x14ac:dyDescent="0.25">
      <c r="D15" s="54"/>
    </row>
    <row r="16" spans="1:5" x14ac:dyDescent="0.25">
      <c r="D16" s="54"/>
    </row>
    <row r="17" spans="4:4" x14ac:dyDescent="0.25">
      <c r="D17" s="54"/>
    </row>
    <row r="18" spans="4:4" x14ac:dyDescent="0.25">
      <c r="D18" s="54"/>
    </row>
    <row r="19" spans="4:4" x14ac:dyDescent="0.25">
      <c r="D19" s="54"/>
    </row>
    <row r="20" spans="4:4" x14ac:dyDescent="0.25">
      <c r="D20" s="54"/>
    </row>
    <row r="21" spans="4:4" x14ac:dyDescent="0.25">
      <c r="D21" s="54"/>
    </row>
    <row r="22" spans="4:4" x14ac:dyDescent="0.25">
      <c r="D22" s="54"/>
    </row>
    <row r="23" spans="4:4" x14ac:dyDescent="0.25">
      <c r="D23" s="54"/>
    </row>
    <row r="24" spans="4:4" x14ac:dyDescent="0.25">
      <c r="D24" s="54"/>
    </row>
    <row r="25" spans="4:4" x14ac:dyDescent="0.25">
      <c r="D25" s="54"/>
    </row>
    <row r="26" spans="4:4" x14ac:dyDescent="0.25">
      <c r="D26" s="54"/>
    </row>
    <row r="27" spans="4:4" x14ac:dyDescent="0.25">
      <c r="D27" s="54"/>
    </row>
    <row r="28" spans="4:4" x14ac:dyDescent="0.25">
      <c r="D28" s="54"/>
    </row>
    <row r="29" spans="4:4" x14ac:dyDescent="0.25">
      <c r="D29" s="54"/>
    </row>
    <row r="30" spans="4:4" x14ac:dyDescent="0.25">
      <c r="D30" s="54"/>
    </row>
    <row r="31" spans="4:4" x14ac:dyDescent="0.25">
      <c r="D31" s="54"/>
    </row>
    <row r="32" spans="4:4" x14ac:dyDescent="0.25">
      <c r="D32" s="54"/>
    </row>
    <row r="33" spans="4:4" x14ac:dyDescent="0.25">
      <c r="D33" s="54"/>
    </row>
    <row r="34" spans="4:4" x14ac:dyDescent="0.25">
      <c r="D34" s="54"/>
    </row>
    <row r="35" spans="4:4" x14ac:dyDescent="0.25">
      <c r="D35" s="54"/>
    </row>
    <row r="36" spans="4:4" x14ac:dyDescent="0.25">
      <c r="D36" s="54"/>
    </row>
    <row r="37" spans="4:4" x14ac:dyDescent="0.25">
      <c r="D37" s="54"/>
    </row>
    <row r="38" spans="4:4" x14ac:dyDescent="0.25">
      <c r="D38" s="54"/>
    </row>
    <row r="39" spans="4:4" x14ac:dyDescent="0.25">
      <c r="D39" s="54"/>
    </row>
    <row r="40" spans="4:4" x14ac:dyDescent="0.25">
      <c r="D40" s="54"/>
    </row>
    <row r="41" spans="4:4" x14ac:dyDescent="0.25">
      <c r="D41" s="54"/>
    </row>
    <row r="42" spans="4:4" x14ac:dyDescent="0.25">
      <c r="D42" s="54"/>
    </row>
    <row r="43" spans="4:4" x14ac:dyDescent="0.25">
      <c r="D43" s="54"/>
    </row>
    <row r="44" spans="4:4" x14ac:dyDescent="0.25">
      <c r="D44" s="54"/>
    </row>
    <row r="45" spans="4:4" x14ac:dyDescent="0.25">
      <c r="D45" s="54"/>
    </row>
    <row r="46" spans="4:4" x14ac:dyDescent="0.25">
      <c r="D46" s="54"/>
    </row>
    <row r="47" spans="4:4" x14ac:dyDescent="0.25">
      <c r="D47" s="54"/>
    </row>
    <row r="48" spans="4:4" x14ac:dyDescent="0.25">
      <c r="D48" s="54"/>
    </row>
    <row r="49" spans="4:4" x14ac:dyDescent="0.25">
      <c r="D49" s="54"/>
    </row>
    <row r="50" spans="4:4" x14ac:dyDescent="0.25">
      <c r="D50" s="54"/>
    </row>
    <row r="51" spans="4:4" x14ac:dyDescent="0.25">
      <c r="D51" s="54"/>
    </row>
    <row r="52" spans="4:4" x14ac:dyDescent="0.25">
      <c r="D52" s="54"/>
    </row>
    <row r="53" spans="4:4" x14ac:dyDescent="0.25">
      <c r="D53" s="54"/>
    </row>
    <row r="54" spans="4:4" x14ac:dyDescent="0.25">
      <c r="D54" s="54"/>
    </row>
    <row r="55" spans="4:4" x14ac:dyDescent="0.25">
      <c r="D55" s="54"/>
    </row>
    <row r="56" spans="4:4" x14ac:dyDescent="0.25">
      <c r="D56" s="54"/>
    </row>
    <row r="57" spans="4:4" x14ac:dyDescent="0.25">
      <c r="D57" s="54"/>
    </row>
    <row r="58" spans="4:4" x14ac:dyDescent="0.25">
      <c r="D58" s="54"/>
    </row>
    <row r="59" spans="4:4" x14ac:dyDescent="0.25">
      <c r="D59" s="54"/>
    </row>
    <row r="60" spans="4:4" x14ac:dyDescent="0.25">
      <c r="D60" s="54"/>
    </row>
    <row r="61" spans="4:4" x14ac:dyDescent="0.25">
      <c r="D61" s="54"/>
    </row>
    <row r="62" spans="4:4" x14ac:dyDescent="0.25">
      <c r="D62" s="54"/>
    </row>
    <row r="63" spans="4:4" x14ac:dyDescent="0.25">
      <c r="D63" s="54"/>
    </row>
    <row r="64" spans="4:4" x14ac:dyDescent="0.25">
      <c r="D64" s="54"/>
    </row>
    <row r="65" spans="4:4" x14ac:dyDescent="0.25">
      <c r="D65" s="54"/>
    </row>
    <row r="66" spans="4:4" x14ac:dyDescent="0.25">
      <c r="D66" s="54"/>
    </row>
    <row r="67" spans="4:4" x14ac:dyDescent="0.25">
      <c r="D67" s="54"/>
    </row>
    <row r="68" spans="4:4" x14ac:dyDescent="0.25">
      <c r="D68" s="54"/>
    </row>
    <row r="69" spans="4:4" x14ac:dyDescent="0.25">
      <c r="D69" s="54"/>
    </row>
    <row r="70" spans="4:4" x14ac:dyDescent="0.25">
      <c r="D70" s="54"/>
    </row>
    <row r="71" spans="4:4" x14ac:dyDescent="0.25">
      <c r="D71" s="54"/>
    </row>
    <row r="72" spans="4:4" x14ac:dyDescent="0.25">
      <c r="D72" s="54"/>
    </row>
    <row r="73" spans="4:4" x14ac:dyDescent="0.25">
      <c r="D73" s="54"/>
    </row>
    <row r="74" spans="4:4" x14ac:dyDescent="0.25">
      <c r="D74" s="54"/>
    </row>
    <row r="75" spans="4:4" x14ac:dyDescent="0.25">
      <c r="D75" s="54"/>
    </row>
    <row r="76" spans="4:4" x14ac:dyDescent="0.25">
      <c r="D76" s="54"/>
    </row>
    <row r="77" spans="4:4" x14ac:dyDescent="0.25">
      <c r="D77" s="54"/>
    </row>
    <row r="78" spans="4:4" x14ac:dyDescent="0.25">
      <c r="D78" s="54"/>
    </row>
    <row r="79" spans="4:4" x14ac:dyDescent="0.25">
      <c r="D79" s="54"/>
    </row>
    <row r="80" spans="4:4" x14ac:dyDescent="0.25">
      <c r="D80" s="54"/>
    </row>
    <row r="81" spans="4:4" x14ac:dyDescent="0.25">
      <c r="D81" s="54"/>
    </row>
    <row r="82" spans="4:4" x14ac:dyDescent="0.25">
      <c r="D82" s="54"/>
    </row>
    <row r="83" spans="4:4" x14ac:dyDescent="0.25">
      <c r="D83" s="54"/>
    </row>
    <row r="84" spans="4:4" x14ac:dyDescent="0.25">
      <c r="D84" s="54"/>
    </row>
    <row r="85" spans="4:4" x14ac:dyDescent="0.25">
      <c r="D85" s="54"/>
    </row>
    <row r="86" spans="4:4" x14ac:dyDescent="0.25">
      <c r="D86" s="54"/>
    </row>
    <row r="87" spans="4:4" x14ac:dyDescent="0.25">
      <c r="D87" s="54"/>
    </row>
    <row r="88" spans="4:4" x14ac:dyDescent="0.25">
      <c r="D88" s="54"/>
    </row>
    <row r="89" spans="4:4" x14ac:dyDescent="0.25">
      <c r="D89" s="54"/>
    </row>
    <row r="90" spans="4:4" x14ac:dyDescent="0.25">
      <c r="D90" s="54"/>
    </row>
    <row r="91" spans="4:4" x14ac:dyDescent="0.25">
      <c r="D91" s="54"/>
    </row>
    <row r="92" spans="4:4" x14ac:dyDescent="0.25">
      <c r="D92" s="54"/>
    </row>
    <row r="93" spans="4:4" x14ac:dyDescent="0.25">
      <c r="D93" s="54"/>
    </row>
    <row r="94" spans="4:4" x14ac:dyDescent="0.25">
      <c r="D94" s="54"/>
    </row>
    <row r="95" spans="4:4" x14ac:dyDescent="0.25">
      <c r="D95" s="54"/>
    </row>
    <row r="96" spans="4:4" x14ac:dyDescent="0.25">
      <c r="D96" s="54"/>
    </row>
    <row r="97" spans="4:4" x14ac:dyDescent="0.25">
      <c r="D97" s="54"/>
    </row>
    <row r="98" spans="4:4" x14ac:dyDescent="0.25">
      <c r="D98" s="54"/>
    </row>
    <row r="99" spans="4:4" x14ac:dyDescent="0.25">
      <c r="D99" s="54"/>
    </row>
    <row r="100" spans="4:4" x14ac:dyDescent="0.25">
      <c r="D100" s="54"/>
    </row>
    <row r="101" spans="4:4" x14ac:dyDescent="0.25">
      <c r="D101" s="54"/>
    </row>
    <row r="102" spans="4:4" x14ac:dyDescent="0.25">
      <c r="D102" s="54"/>
    </row>
    <row r="103" spans="4:4" x14ac:dyDescent="0.25">
      <c r="D103" s="54"/>
    </row>
    <row r="104" spans="4:4" x14ac:dyDescent="0.25">
      <c r="D104" s="54"/>
    </row>
    <row r="105" spans="4:4" x14ac:dyDescent="0.25">
      <c r="D105" s="54"/>
    </row>
    <row r="106" spans="4:4" x14ac:dyDescent="0.25">
      <c r="D106" s="54"/>
    </row>
    <row r="107" spans="4:4" x14ac:dyDescent="0.25">
      <c r="D107" s="54"/>
    </row>
    <row r="108" spans="4:4" x14ac:dyDescent="0.25">
      <c r="D108" s="54"/>
    </row>
  </sheetData>
  <sheetProtection formatCells="0" sort="0" autoFilter="0"/>
  <dataValidations count="6">
    <dataValidation type="custom" showInputMessage="1" showErrorMessage="1" errorTitle="Column Name change" error="Please do not change the column names." sqref="B1" xr:uid="{6F16028E-26AC-BE4C-803F-31DB6E953A76}">
      <formula1>"$C$1=`Dilution_Batch_Name`"</formula1>
    </dataValidation>
    <dataValidation type="custom" allowBlank="1" showInputMessage="1" showErrorMessage="1" errorTitle="Column Name change" error="Please do not change the column names." sqref="C1:D1" xr:uid="{7FA648D9-D7F5-7E4B-9C7C-BAF4CD9F163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decimal" operator="greaterThanOrEqual" allowBlank="1" showInputMessage="1" showErrorMessage="1" errorTitle="Invalid input" error="Input must be a non negative number" sqref="D109:D1048576 C2:C1048576" xr:uid="{EB18B8AF-0433-4226-A4D9-84442E969932}">
      <formula1>0</formula1>
    </dataValidation>
    <dataValidation type="custom" showInputMessage="1" showErrorMessage="1" errorTitle="Column name change" error="Please do not change the column names" sqref="A1" xr:uid="{FF59D036-19D1-F846-B4EF-1418483A2CB6}">
      <formula1>#REF!="Merge_Status"</formula1>
    </dataValidation>
    <dataValidation type="custom" showInputMessage="1" showErrorMessage="1" errorTitle="Column name change" error="Please do not change the column names" sqref="A1" xr:uid="{C3F0FD74-7792-CD45-83A9-D6C99A344FFA}">
      <formula1>$A$1="Sample_Name"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 codeName="Sheet3">
    <tabColor rgb="FFFFFF99"/>
  </sheetPr>
  <dimension ref="A1:E33"/>
  <sheetViews>
    <sheetView tabSelected="1" zoomScale="153" zoomScaleNormal="153" workbookViewId="0">
      <selection activeCell="E8" sqref="E8"/>
    </sheetView>
  </sheetViews>
  <sheetFormatPr baseColWidth="10" defaultColWidth="11.5" defaultRowHeight="15" x14ac:dyDescent="0.2"/>
  <cols>
    <col min="1" max="1" width="16.6640625" customWidth="1"/>
    <col min="2" max="2" width="28.83203125" bestFit="1" customWidth="1"/>
    <col min="3" max="3" width="21.5" bestFit="1" customWidth="1"/>
    <col min="4" max="4" width="28.33203125" bestFit="1" customWidth="1"/>
    <col min="5" max="5" width="32" bestFit="1" customWidth="1"/>
  </cols>
  <sheetData>
    <row r="1" spans="1:5" ht="19" x14ac:dyDescent="0.2">
      <c r="A1" s="56" t="s">
        <v>7</v>
      </c>
      <c r="B1" s="56" t="s">
        <v>144</v>
      </c>
      <c r="C1" s="56" t="s">
        <v>132</v>
      </c>
      <c r="D1" s="56" t="s">
        <v>50</v>
      </c>
      <c r="E1" s="56" t="s">
        <v>183</v>
      </c>
    </row>
    <row r="2" spans="1:5" x14ac:dyDescent="0.2">
      <c r="A2" t="s">
        <v>135</v>
      </c>
      <c r="B2" s="55" t="s">
        <v>121</v>
      </c>
      <c r="C2">
        <v>0.27700000000000002</v>
      </c>
      <c r="D2" t="s">
        <v>133</v>
      </c>
    </row>
    <row r="3" spans="1:5" x14ac:dyDescent="0.2">
      <c r="A3" t="s">
        <v>137</v>
      </c>
      <c r="B3" s="55" t="s">
        <v>121</v>
      </c>
      <c r="C3">
        <v>0.60899999999999999</v>
      </c>
      <c r="D3" t="s">
        <v>133</v>
      </c>
    </row>
    <row r="4" spans="1:5" x14ac:dyDescent="0.2">
      <c r="A4" t="s">
        <v>138</v>
      </c>
      <c r="B4" s="55" t="s">
        <v>121</v>
      </c>
      <c r="C4">
        <v>1.27</v>
      </c>
      <c r="D4" t="s">
        <v>133</v>
      </c>
    </row>
    <row r="5" spans="1:5" x14ac:dyDescent="0.2">
      <c r="A5" t="s">
        <v>139</v>
      </c>
      <c r="B5" s="55" t="s">
        <v>121</v>
      </c>
      <c r="C5" s="59">
        <v>2.74</v>
      </c>
      <c r="D5" t="s">
        <v>133</v>
      </c>
    </row>
    <row r="6" spans="1:5" x14ac:dyDescent="0.2">
      <c r="A6" t="s">
        <v>140</v>
      </c>
      <c r="B6" s="55" t="s">
        <v>121</v>
      </c>
      <c r="C6" s="59">
        <v>5.93</v>
      </c>
      <c r="D6" t="s">
        <v>133</v>
      </c>
    </row>
    <row r="7" spans="1:5" x14ac:dyDescent="0.2">
      <c r="A7" t="s">
        <v>141</v>
      </c>
      <c r="B7" s="55" t="s">
        <v>121</v>
      </c>
      <c r="C7" s="59">
        <v>12.7</v>
      </c>
      <c r="D7" t="s">
        <v>133</v>
      </c>
    </row>
    <row r="8" spans="1:5" x14ac:dyDescent="0.2">
      <c r="A8" t="s">
        <v>135</v>
      </c>
      <c r="B8" s="55" t="s">
        <v>124</v>
      </c>
      <c r="C8" s="59">
        <v>0.86699999999999999</v>
      </c>
      <c r="D8" t="s">
        <v>133</v>
      </c>
      <c r="E8" t="b">
        <v>0</v>
      </c>
    </row>
    <row r="9" spans="1:5" x14ac:dyDescent="0.2">
      <c r="A9" t="s">
        <v>137</v>
      </c>
      <c r="B9" s="55" t="s">
        <v>124</v>
      </c>
      <c r="C9" s="59">
        <v>2.2799999999999998</v>
      </c>
      <c r="D9" t="s">
        <v>133</v>
      </c>
    </row>
    <row r="10" spans="1:5" x14ac:dyDescent="0.2">
      <c r="A10" t="s">
        <v>138</v>
      </c>
      <c r="B10" s="55" t="s">
        <v>124</v>
      </c>
      <c r="C10">
        <v>6.04</v>
      </c>
      <c r="D10" t="s">
        <v>133</v>
      </c>
    </row>
    <row r="11" spans="1:5" x14ac:dyDescent="0.2">
      <c r="A11" t="s">
        <v>139</v>
      </c>
      <c r="B11" s="55" t="s">
        <v>124</v>
      </c>
      <c r="C11" s="59">
        <v>16</v>
      </c>
      <c r="D11" t="s">
        <v>133</v>
      </c>
    </row>
    <row r="12" spans="1:5" x14ac:dyDescent="0.2">
      <c r="A12" t="s">
        <v>140</v>
      </c>
      <c r="B12" s="55" t="s">
        <v>124</v>
      </c>
      <c r="C12" s="59">
        <v>42.2</v>
      </c>
      <c r="D12" t="s">
        <v>133</v>
      </c>
    </row>
    <row r="13" spans="1:5" x14ac:dyDescent="0.2">
      <c r="A13" t="s">
        <v>141</v>
      </c>
      <c r="B13" s="55" t="s">
        <v>124</v>
      </c>
      <c r="C13" s="59">
        <v>111</v>
      </c>
      <c r="D13" t="s">
        <v>133</v>
      </c>
      <c r="E13" t="b">
        <v>0</v>
      </c>
    </row>
    <row r="14" spans="1:5" x14ac:dyDescent="0.2">
      <c r="A14" t="s">
        <v>135</v>
      </c>
      <c r="B14" s="55" t="s">
        <v>123</v>
      </c>
      <c r="C14">
        <v>5.52</v>
      </c>
      <c r="D14" t="s">
        <v>133</v>
      </c>
    </row>
    <row r="15" spans="1:5" x14ac:dyDescent="0.2">
      <c r="A15" t="s">
        <v>137</v>
      </c>
      <c r="B15" s="55" t="s">
        <v>123</v>
      </c>
      <c r="C15" s="59">
        <v>14.6</v>
      </c>
      <c r="D15" t="s">
        <v>133</v>
      </c>
    </row>
    <row r="16" spans="1:5" x14ac:dyDescent="0.2">
      <c r="A16" t="s">
        <v>138</v>
      </c>
      <c r="B16" s="55" t="s">
        <v>123</v>
      </c>
      <c r="C16" s="59">
        <v>38.4</v>
      </c>
      <c r="D16" t="s">
        <v>133</v>
      </c>
    </row>
    <row r="17" spans="1:4" x14ac:dyDescent="0.2">
      <c r="A17" t="s">
        <v>139</v>
      </c>
      <c r="B17" s="55" t="s">
        <v>123</v>
      </c>
      <c r="C17">
        <v>102</v>
      </c>
      <c r="D17" t="s">
        <v>133</v>
      </c>
    </row>
    <row r="18" spans="1:4" x14ac:dyDescent="0.2">
      <c r="A18" t="s">
        <v>140</v>
      </c>
      <c r="B18" s="55" t="s">
        <v>123</v>
      </c>
      <c r="C18">
        <v>268</v>
      </c>
      <c r="D18" t="s">
        <v>133</v>
      </c>
    </row>
    <row r="19" spans="1:4" x14ac:dyDescent="0.2">
      <c r="A19" t="s">
        <v>141</v>
      </c>
      <c r="B19" s="55" t="s">
        <v>123</v>
      </c>
      <c r="C19">
        <v>707</v>
      </c>
      <c r="D19" t="s">
        <v>133</v>
      </c>
    </row>
    <row r="20" spans="1:4" x14ac:dyDescent="0.2">
      <c r="A20" t="s">
        <v>135</v>
      </c>
      <c r="B20" s="55" t="s">
        <v>122</v>
      </c>
      <c r="C20">
        <v>1.39</v>
      </c>
      <c r="D20" t="s">
        <v>133</v>
      </c>
    </row>
    <row r="21" spans="1:4" x14ac:dyDescent="0.2">
      <c r="A21" t="s">
        <v>137</v>
      </c>
      <c r="B21" s="55" t="s">
        <v>122</v>
      </c>
      <c r="C21">
        <v>3.66</v>
      </c>
      <c r="D21" t="s">
        <v>133</v>
      </c>
    </row>
    <row r="22" spans="1:4" x14ac:dyDescent="0.2">
      <c r="A22" t="s">
        <v>138</v>
      </c>
      <c r="B22" s="55" t="s">
        <v>122</v>
      </c>
      <c r="C22">
        <v>9.64</v>
      </c>
      <c r="D22" t="s">
        <v>133</v>
      </c>
    </row>
    <row r="23" spans="1:4" x14ac:dyDescent="0.2">
      <c r="A23" t="s">
        <v>139</v>
      </c>
      <c r="B23" s="55" t="s">
        <v>122</v>
      </c>
      <c r="C23" s="59">
        <v>25.5</v>
      </c>
      <c r="D23" t="s">
        <v>133</v>
      </c>
    </row>
    <row r="24" spans="1:4" x14ac:dyDescent="0.2">
      <c r="A24" t="s">
        <v>140</v>
      </c>
      <c r="B24" s="55" t="s">
        <v>122</v>
      </c>
      <c r="C24">
        <v>67.3</v>
      </c>
      <c r="D24" t="s">
        <v>133</v>
      </c>
    </row>
    <row r="25" spans="1:4" x14ac:dyDescent="0.2">
      <c r="A25" t="s">
        <v>141</v>
      </c>
      <c r="B25" s="55" t="s">
        <v>122</v>
      </c>
      <c r="C25">
        <v>178</v>
      </c>
      <c r="D25" t="s">
        <v>133</v>
      </c>
    </row>
    <row r="26" spans="1:4" x14ac:dyDescent="0.2">
      <c r="A26" s="61" t="s">
        <v>116</v>
      </c>
      <c r="B26" s="62" t="s">
        <v>121</v>
      </c>
      <c r="C26" s="63">
        <v>9.74</v>
      </c>
      <c r="D26" s="64" t="s">
        <v>133</v>
      </c>
    </row>
    <row r="27" spans="1:4" x14ac:dyDescent="0.2">
      <c r="A27" s="61" t="s">
        <v>116</v>
      </c>
      <c r="B27" s="55" t="s">
        <v>124</v>
      </c>
      <c r="C27" s="63">
        <v>77.5</v>
      </c>
      <c r="D27" s="57" t="s">
        <v>133</v>
      </c>
    </row>
    <row r="28" spans="1:4" x14ac:dyDescent="0.2">
      <c r="A28" s="61" t="s">
        <v>116</v>
      </c>
      <c r="B28" s="55" t="s">
        <v>123</v>
      </c>
      <c r="C28" s="63">
        <v>472</v>
      </c>
      <c r="D28" s="58" t="s">
        <v>133</v>
      </c>
    </row>
    <row r="29" spans="1:4" x14ac:dyDescent="0.2">
      <c r="A29" s="61" t="s">
        <v>116</v>
      </c>
      <c r="B29" s="62" t="s">
        <v>122</v>
      </c>
      <c r="C29" s="63">
        <v>118.7</v>
      </c>
      <c r="D29" s="64" t="s">
        <v>133</v>
      </c>
    </row>
    <row r="30" spans="1:4" x14ac:dyDescent="0.2">
      <c r="A30" s="61" t="s">
        <v>117</v>
      </c>
      <c r="B30" s="62" t="s">
        <v>121</v>
      </c>
      <c r="C30" s="63">
        <v>0.91100000000000003</v>
      </c>
      <c r="D30" s="65" t="s">
        <v>133</v>
      </c>
    </row>
    <row r="31" spans="1:4" x14ac:dyDescent="0.2">
      <c r="A31" s="61" t="s">
        <v>117</v>
      </c>
      <c r="B31" s="55" t="s">
        <v>124</v>
      </c>
      <c r="C31" s="63">
        <v>4.1100000000000003</v>
      </c>
      <c r="D31" s="58" t="s">
        <v>133</v>
      </c>
    </row>
    <row r="32" spans="1:4" x14ac:dyDescent="0.2">
      <c r="A32" s="61" t="s">
        <v>117</v>
      </c>
      <c r="B32" s="55" t="s">
        <v>123</v>
      </c>
      <c r="C32" s="63">
        <v>25.21</v>
      </c>
      <c r="D32" s="57" t="s">
        <v>133</v>
      </c>
    </row>
    <row r="33" spans="1:4" x14ac:dyDescent="0.2">
      <c r="A33" s="61" t="s">
        <v>117</v>
      </c>
      <c r="B33" s="62" t="s">
        <v>122</v>
      </c>
      <c r="C33" s="63">
        <v>6.52</v>
      </c>
      <c r="D33" s="65" t="s">
        <v>133</v>
      </c>
    </row>
  </sheetData>
  <phoneticPr fontId="32" type="noConversion"/>
  <dataValidations disablePrompts="1" count="4">
    <dataValidation type="custom" showInputMessage="1" showErrorMessage="1" errorTitle="Column name change" error="Please do not change the column names" sqref="A1" xr:uid="{B0C8C2D6-D0B5-D841-B625-5DD674603682}">
      <formula1>$A$1="Sample_Name"</formula1>
    </dataValidation>
    <dataValidation type="custom" showInputMessage="1" showErrorMessage="1" errorTitle="Column name change" error="Please do not change the column names" sqref="A1" xr:uid="{7F9635A5-1894-3243-8A5F-E8EBDADBE893}">
      <formula1>#REF!="Merge_Status"</formula1>
    </dataValidation>
    <dataValidation type="custom" allowBlank="1" showInputMessage="1" showErrorMessage="1" errorTitle="Column Name change" error="Please do not change the column names." sqref="C1:D1" xr:uid="{CE3C5BCD-889E-9B4C-8063-2A258DDD3279}">
      <formula1>"$D$1==`Relative_Sample_Amount_[%]`"</formula1>
    </dataValidation>
    <dataValidation type="custom" showInputMessage="1" showErrorMessage="1" errorTitle="Column Name change" error="Please do not change the column names." sqref="B1" xr:uid="{BB077CA2-38F0-184E-8AFB-A97854942F40}">
      <formula1>"$C$1=`Dilution_Batch_Name`"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9" sqref="D39"/>
    </sheetView>
  </sheetViews>
  <sheetFormatPr baseColWidth="10" defaultColWidth="11.5" defaultRowHeight="15" x14ac:dyDescent="0.2"/>
  <cols>
    <col min="2" max="2" width="30" customWidth="1"/>
    <col min="4" max="4" width="62.33203125" customWidth="1"/>
  </cols>
  <sheetData>
    <row r="4" spans="2:4" ht="19" x14ac:dyDescent="0.2">
      <c r="B4" s="35" t="s">
        <v>0</v>
      </c>
      <c r="D4" t="s">
        <v>37</v>
      </c>
    </row>
    <row r="5" spans="2:4" ht="19" x14ac:dyDescent="0.2">
      <c r="B5" s="16" t="s">
        <v>2</v>
      </c>
      <c r="D5" t="s">
        <v>38</v>
      </c>
    </row>
    <row r="6" spans="2:4" ht="19" x14ac:dyDescent="0.2">
      <c r="B6" s="31" t="s">
        <v>26</v>
      </c>
      <c r="D6" t="s">
        <v>39</v>
      </c>
    </row>
    <row r="7" spans="2:4" ht="16" x14ac:dyDescent="0.2">
      <c r="B7" s="27" t="s">
        <v>36</v>
      </c>
      <c r="D7" t="s">
        <v>40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18"/>
  <sheetViews>
    <sheetView workbookViewId="0">
      <selection sqref="A1:A18"/>
    </sheetView>
  </sheetViews>
  <sheetFormatPr baseColWidth="10" defaultColWidth="11.5" defaultRowHeight="15" x14ac:dyDescent="0.2"/>
  <cols>
    <col min="1" max="1" width="5" customWidth="1"/>
    <col min="2" max="2" width="25" style="26" customWidth="1"/>
    <col min="3" max="3" width="69" style="26" customWidth="1"/>
  </cols>
  <sheetData>
    <row r="1" spans="1:3" ht="38" customHeight="1" x14ac:dyDescent="0.2">
      <c r="A1" s="67"/>
      <c r="B1" s="67" t="s">
        <v>179</v>
      </c>
      <c r="C1" s="25"/>
    </row>
    <row r="2" spans="1:3" ht="17" customHeight="1" x14ac:dyDescent="0.2">
      <c r="A2" s="30"/>
      <c r="B2" s="30"/>
      <c r="C2" s="30"/>
    </row>
    <row r="3" spans="1:3" s="19" customFormat="1" ht="19" x14ac:dyDescent="0.25">
      <c r="A3" s="28"/>
      <c r="B3" s="28" t="s">
        <v>41</v>
      </c>
      <c r="C3" s="68" t="s">
        <v>180</v>
      </c>
    </row>
    <row r="4" spans="1:3" s="19" customFormat="1" ht="19" x14ac:dyDescent="0.25">
      <c r="A4" s="28"/>
      <c r="B4" s="28" t="s">
        <v>42</v>
      </c>
      <c r="C4" s="69" t="s">
        <v>181</v>
      </c>
    </row>
    <row r="5" spans="1:3" x14ac:dyDescent="0.2">
      <c r="A5" s="29"/>
      <c r="B5" s="29"/>
      <c r="C5" s="29"/>
    </row>
    <row r="6" spans="1:3" ht="16" x14ac:dyDescent="0.2">
      <c r="A6" s="38"/>
      <c r="B6" s="38" t="s">
        <v>43</v>
      </c>
      <c r="C6" s="29"/>
    </row>
    <row r="7" spans="1:3" ht="16" x14ac:dyDescent="0.2">
      <c r="A7" s="39"/>
      <c r="B7" s="39" t="s">
        <v>44</v>
      </c>
      <c r="C7" s="29"/>
    </row>
    <row r="8" spans="1:3" x14ac:dyDescent="0.2">
      <c r="A8" s="37"/>
      <c r="B8" s="37"/>
      <c r="C8" s="29"/>
    </row>
    <row r="9" spans="1:3" ht="18" x14ac:dyDescent="0.2">
      <c r="A9" s="28"/>
      <c r="B9" s="28" t="s">
        <v>45</v>
      </c>
      <c r="C9" s="29"/>
    </row>
    <row r="10" spans="1:3" ht="18" x14ac:dyDescent="0.2">
      <c r="A10" s="28"/>
      <c r="B10" s="28"/>
      <c r="C10" s="29"/>
    </row>
    <row r="11" spans="1:3" ht="16" x14ac:dyDescent="0.2">
      <c r="A11" s="38"/>
      <c r="B11" s="38" t="s">
        <v>182</v>
      </c>
      <c r="C11" s="29"/>
    </row>
    <row r="12" spans="1:3" ht="16" x14ac:dyDescent="0.2">
      <c r="A12" s="39"/>
      <c r="B12" s="39" t="s">
        <v>46</v>
      </c>
      <c r="C12" s="29"/>
    </row>
    <row r="13" spans="1:3" x14ac:dyDescent="0.2">
      <c r="A13" s="29"/>
      <c r="B13" s="29"/>
      <c r="C13" s="29"/>
    </row>
    <row r="14" spans="1:3" x14ac:dyDescent="0.2">
      <c r="A14" s="29"/>
      <c r="B14" s="29"/>
      <c r="C14" s="29"/>
    </row>
    <row r="15" spans="1:3" x14ac:dyDescent="0.2">
      <c r="A15" s="29"/>
      <c r="B15" s="29"/>
      <c r="C15" s="29"/>
    </row>
    <row r="16" spans="1:3" x14ac:dyDescent="0.2">
      <c r="A16" s="29"/>
      <c r="B16" s="29"/>
      <c r="C16" s="29"/>
    </row>
    <row r="17" spans="1:3" x14ac:dyDescent="0.2">
      <c r="A17" s="29"/>
      <c r="B17" s="29"/>
      <c r="C17" s="29"/>
    </row>
    <row r="18" spans="1:3" x14ac:dyDescent="0.2">
      <c r="A18" s="29"/>
      <c r="B18" s="29"/>
      <c r="C18" s="29"/>
    </row>
  </sheetData>
  <phoneticPr fontId="32" type="noConversion"/>
  <hyperlinks>
    <hyperlink ref="B12" r:id="rId1" xr:uid="{70C0D7F9-2338-5943-AB97-CCE3DC4F07C7}"/>
    <hyperlink ref="B7" r:id="rId2" xr:uid="{D6E7367A-C9D6-174E-B1A3-55EFF70D8A2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6"/>
  <sheetViews>
    <sheetView topLeftCell="A4" zoomScale="109" workbookViewId="0">
      <selection activeCell="D31" sqref="D31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1</v>
      </c>
      <c r="B1" t="s">
        <v>47</v>
      </c>
      <c r="C1" t="s">
        <v>48</v>
      </c>
      <c r="D1" t="s">
        <v>49</v>
      </c>
      <c r="F1" s="1" t="s">
        <v>3</v>
      </c>
      <c r="H1" s="4" t="s">
        <v>50</v>
      </c>
      <c r="I1" s="4" t="s">
        <v>51</v>
      </c>
      <c r="J1" s="7"/>
      <c r="K1" s="6" t="s">
        <v>52</v>
      </c>
    </row>
    <row r="2" spans="1:11" x14ac:dyDescent="0.2">
      <c r="A2" t="s">
        <v>18</v>
      </c>
      <c r="B2" t="s">
        <v>53</v>
      </c>
      <c r="C2" t="s">
        <v>54</v>
      </c>
      <c r="D2" t="s">
        <v>55</v>
      </c>
      <c r="F2" t="s">
        <v>56</v>
      </c>
      <c r="H2" s="9" t="s">
        <v>57</v>
      </c>
      <c r="I2" s="10">
        <v>1.0000000000000001E-9</v>
      </c>
      <c r="J2" s="7"/>
      <c r="K2" s="5" t="s">
        <v>58</v>
      </c>
    </row>
    <row r="3" spans="1:11" x14ac:dyDescent="0.2">
      <c r="A3" t="s">
        <v>59</v>
      </c>
      <c r="B3" t="s">
        <v>60</v>
      </c>
      <c r="C3" t="s">
        <v>61</v>
      </c>
      <c r="D3" t="s">
        <v>62</v>
      </c>
      <c r="F3" t="s">
        <v>63</v>
      </c>
      <c r="H3" s="9" t="s">
        <v>64</v>
      </c>
      <c r="I3" s="10">
        <v>9.9999999999999995E-7</v>
      </c>
      <c r="J3" s="7"/>
      <c r="K3" s="8" t="s">
        <v>65</v>
      </c>
    </row>
    <row r="4" spans="1:11" x14ac:dyDescent="0.2">
      <c r="A4" t="s">
        <v>66</v>
      </c>
      <c r="B4" t="s">
        <v>67</v>
      </c>
      <c r="C4" t="s">
        <v>68</v>
      </c>
      <c r="D4" t="s">
        <v>68</v>
      </c>
      <c r="F4" s="2" t="s">
        <v>19</v>
      </c>
      <c r="H4" s="9" t="s">
        <v>35</v>
      </c>
      <c r="I4" s="10">
        <v>1E-3</v>
      </c>
    </row>
    <row r="5" spans="1:11" x14ac:dyDescent="0.2">
      <c r="A5" t="s">
        <v>17</v>
      </c>
      <c r="B5" t="s">
        <v>67</v>
      </c>
      <c r="C5" t="s">
        <v>69</v>
      </c>
      <c r="D5" t="s">
        <v>70</v>
      </c>
      <c r="F5" s="3" t="s">
        <v>71</v>
      </c>
      <c r="H5" s="9" t="s">
        <v>72</v>
      </c>
      <c r="I5" s="10">
        <v>1</v>
      </c>
    </row>
    <row r="6" spans="1:11" x14ac:dyDescent="0.2">
      <c r="A6" t="s">
        <v>16</v>
      </c>
      <c r="B6" t="s">
        <v>73</v>
      </c>
      <c r="C6" t="s">
        <v>74</v>
      </c>
      <c r="D6" t="s">
        <v>75</v>
      </c>
      <c r="F6" t="s">
        <v>76</v>
      </c>
      <c r="H6" s="11" t="s">
        <v>77</v>
      </c>
      <c r="I6" s="12">
        <v>1000</v>
      </c>
    </row>
    <row r="7" spans="1:11" x14ac:dyDescent="0.2">
      <c r="A7" t="s">
        <v>22</v>
      </c>
      <c r="B7" t="s">
        <v>73</v>
      </c>
      <c r="C7" t="s">
        <v>78</v>
      </c>
      <c r="D7" t="s">
        <v>79</v>
      </c>
      <c r="F7" t="s">
        <v>14</v>
      </c>
    </row>
    <row r="8" spans="1:11" x14ac:dyDescent="0.2">
      <c r="A8" t="s">
        <v>24</v>
      </c>
      <c r="B8" t="s">
        <v>80</v>
      </c>
      <c r="C8" t="s">
        <v>81</v>
      </c>
      <c r="D8" t="s">
        <v>81</v>
      </c>
    </row>
    <row r="9" spans="1:11" x14ac:dyDescent="0.2">
      <c r="A9" t="s">
        <v>23</v>
      </c>
      <c r="B9" t="s">
        <v>80</v>
      </c>
      <c r="C9" t="s">
        <v>82</v>
      </c>
      <c r="D9" t="s">
        <v>82</v>
      </c>
    </row>
    <row r="10" spans="1:11" x14ac:dyDescent="0.2">
      <c r="A10" t="s">
        <v>83</v>
      </c>
      <c r="B10" t="s">
        <v>80</v>
      </c>
      <c r="C10" t="s">
        <v>80</v>
      </c>
      <c r="D10" t="s">
        <v>80</v>
      </c>
    </row>
    <row r="11" spans="1:11" x14ac:dyDescent="0.2">
      <c r="A11" t="s">
        <v>21</v>
      </c>
      <c r="B11" t="s">
        <v>84</v>
      </c>
      <c r="C11" t="s">
        <v>85</v>
      </c>
      <c r="D11" t="s">
        <v>86</v>
      </c>
    </row>
    <row r="12" spans="1:11" x14ac:dyDescent="0.2">
      <c r="A12" t="s">
        <v>25</v>
      </c>
      <c r="B12" t="s">
        <v>84</v>
      </c>
      <c r="C12" t="s">
        <v>87</v>
      </c>
      <c r="D12" t="s">
        <v>87</v>
      </c>
    </row>
    <row r="13" spans="1:11" x14ac:dyDescent="0.2">
      <c r="A13" t="s">
        <v>15</v>
      </c>
      <c r="B13" t="s">
        <v>84</v>
      </c>
      <c r="C13" t="s">
        <v>88</v>
      </c>
      <c r="D13" t="s">
        <v>89</v>
      </c>
    </row>
    <row r="14" spans="1:11" x14ac:dyDescent="0.2">
      <c r="A14" t="s">
        <v>20</v>
      </c>
      <c r="B14" t="s">
        <v>84</v>
      </c>
      <c r="C14" t="s">
        <v>90</v>
      </c>
      <c r="D14" t="s">
        <v>91</v>
      </c>
    </row>
    <row r="15" spans="1:11" x14ac:dyDescent="0.2">
      <c r="A15" t="s">
        <v>92</v>
      </c>
      <c r="B15" t="s">
        <v>93</v>
      </c>
      <c r="C15" t="s">
        <v>94</v>
      </c>
      <c r="D15" t="s">
        <v>94</v>
      </c>
    </row>
    <row r="16" spans="1:11" x14ac:dyDescent="0.2">
      <c r="A16" t="s">
        <v>95</v>
      </c>
      <c r="B16" t="s">
        <v>96</v>
      </c>
      <c r="C16" t="s">
        <v>97</v>
      </c>
      <c r="D16" t="s">
        <v>97</v>
      </c>
    </row>
    <row r="17" spans="1:4" x14ac:dyDescent="0.2">
      <c r="A17" t="s">
        <v>98</v>
      </c>
      <c r="C17" t="s">
        <v>99</v>
      </c>
      <c r="D17" t="s">
        <v>99</v>
      </c>
    </row>
    <row r="18" spans="1:4" x14ac:dyDescent="0.2">
      <c r="A18" t="s">
        <v>100</v>
      </c>
      <c r="B18" t="s">
        <v>80</v>
      </c>
      <c r="C18" t="s">
        <v>101</v>
      </c>
      <c r="D18" t="s">
        <v>101</v>
      </c>
    </row>
    <row r="19" spans="1:4" x14ac:dyDescent="0.2">
      <c r="A19" t="s">
        <v>102</v>
      </c>
      <c r="B19" t="s">
        <v>80</v>
      </c>
      <c r="C19" t="s">
        <v>103</v>
      </c>
      <c r="D19" t="s">
        <v>103</v>
      </c>
    </row>
    <row r="20" spans="1:4" x14ac:dyDescent="0.2">
      <c r="A20" t="s">
        <v>96</v>
      </c>
    </row>
    <row r="21" spans="1:4" x14ac:dyDescent="0.2">
      <c r="A21" t="s">
        <v>104</v>
      </c>
      <c r="B21" t="s">
        <v>73</v>
      </c>
      <c r="C21" t="s">
        <v>105</v>
      </c>
    </row>
    <row r="22" spans="1:4" x14ac:dyDescent="0.2">
      <c r="A22" t="s">
        <v>106</v>
      </c>
      <c r="B22" t="s">
        <v>73</v>
      </c>
    </row>
    <row r="23" spans="1:4" x14ac:dyDescent="0.2">
      <c r="A23" t="s">
        <v>117</v>
      </c>
    </row>
    <row r="24" spans="1:4" x14ac:dyDescent="0.2">
      <c r="A24" t="s">
        <v>119</v>
      </c>
    </row>
    <row r="25" spans="1:4" x14ac:dyDescent="0.2">
      <c r="A25" t="s">
        <v>116</v>
      </c>
    </row>
    <row r="26" spans="1:4" x14ac:dyDescent="0.2">
      <c r="A26" t="s">
        <v>120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D3FE6BC5945479A7A293E9476A8EB" ma:contentTypeVersion="4" ma:contentTypeDescription="Create a new document." ma:contentTypeScope="" ma:versionID="19acfa00cab38248245b9196019e27ef">
  <xsd:schema xmlns:xsd="http://www.w3.org/2001/XMLSchema" xmlns:xs="http://www.w3.org/2001/XMLSchema" xmlns:p="http://schemas.microsoft.com/office/2006/metadata/properties" xmlns:ns2="11de6894-9318-4783-a897-2742ac5fd77f" targetNamespace="http://schemas.microsoft.com/office/2006/metadata/properties" ma:root="true" ma:fieldsID="b712eb3d17ff52577f6866fe61b083f5" ns2:_="">
    <xsd:import namespace="11de6894-9318-4783-a897-2742ac5fd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e6894-9318-4783-a897-2742ac5fd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1F997A-8C41-4BC0-AD5B-EC67774BB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de6894-9318-4783-a897-2742ac5fd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QC Concentrations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2026-06-05T10:14:22Z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0x01010061CD3FE6BC5945479A7A293E9476A8EB</vt:lpwstr>
  </property>
</Properties>
</file>